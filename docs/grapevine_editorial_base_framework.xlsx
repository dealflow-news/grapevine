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78853fec82833f0/Desktop/"/>
    </mc:Choice>
  </mc:AlternateContent>
  <xr:revisionPtr revIDLastSave="1445" documentId="8_{B897A001-E8EB-41A8-8A28-9B56020DF732}" xr6:coauthVersionLast="47" xr6:coauthVersionMax="47" xr10:uidLastSave="{1671365D-0AEE-4C89-9DF7-EA60EA9EA837}"/>
  <bookViews>
    <workbookView xWindow="-120" yWindow="-120" windowWidth="29040" windowHeight="15720" activeTab="3" xr2:uid="{00000000-000D-0000-FFFF-FFFF00000000}"/>
  </bookViews>
  <sheets>
    <sheet name="Start Here" sheetId="1" r:id="rId1"/>
    <sheet name="Library_Master" sheetId="2" r:id="rId2"/>
    <sheet name="Knowledge_Cards" sheetId="8" r:id="rId3"/>
    <sheet name="Source_Register" sheetId="3" r:id="rId4"/>
    <sheet name="Pattern_Register" sheetId="4" r:id="rId5"/>
    <sheet name="Thesis_Register" sheetId="5" r:id="rId6"/>
    <sheet name="Update_Timetable" sheetId="6" r:id="rId7"/>
    <sheet name="Controlled_Values" sheetId="7" r:id="rId8"/>
  </sheets>
  <definedNames>
    <definedName name="_xlnm._FilterDatabase" localSheetId="2" hidden="1">Knowledge_Cards!$A$1:$P$11</definedName>
    <definedName name="_xlnm._FilterDatabase" localSheetId="3" hidden="1">Source_Register!$A$1:$I$26</definedName>
    <definedName name="_xlnm._FilterDatabase" localSheetId="5" hidden="1">Thesis_Register!$A$1:$N$5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  <c r="E75" i="2"/>
  <c r="E74" i="2"/>
  <c r="E73" i="2"/>
  <c r="E72" i="2"/>
  <c r="B81" i="2"/>
  <c r="B80" i="2"/>
  <c r="B79" i="2"/>
  <c r="B78" i="2"/>
  <c r="B77" i="2"/>
  <c r="B76" i="2"/>
  <c r="B75" i="2"/>
  <c r="B74" i="2"/>
  <c r="B73" i="2"/>
  <c r="B72" i="2"/>
  <c r="AV68" i="2"/>
  <c r="Y68" i="2"/>
  <c r="AV67" i="2"/>
  <c r="Y67" i="2"/>
  <c r="AV66" i="2"/>
  <c r="Y66" i="2"/>
  <c r="AV65" i="2"/>
  <c r="Y65" i="2"/>
  <c r="AV64" i="2"/>
  <c r="Y64" i="2"/>
  <c r="AV63" i="2"/>
  <c r="Y63" i="2"/>
  <c r="AV62" i="2"/>
  <c r="Y62" i="2"/>
  <c r="AV61" i="2"/>
  <c r="Y61" i="2"/>
  <c r="AV60" i="2"/>
  <c r="Y60" i="2"/>
  <c r="AV59" i="2"/>
  <c r="Y59" i="2"/>
  <c r="AV58" i="2"/>
  <c r="Y58" i="2"/>
  <c r="AV57" i="2"/>
  <c r="Y57" i="2"/>
  <c r="AV56" i="2"/>
  <c r="Y56" i="2"/>
  <c r="AV55" i="2"/>
  <c r="Y55" i="2"/>
  <c r="AV54" i="2"/>
  <c r="Y54" i="2"/>
  <c r="AV53" i="2"/>
  <c r="Y53" i="2"/>
  <c r="AV52" i="2"/>
  <c r="Y52" i="2"/>
  <c r="AV51" i="2"/>
  <c r="Y51" i="2"/>
  <c r="AV50" i="2"/>
  <c r="Y50" i="2"/>
  <c r="AV49" i="2"/>
  <c r="Y49" i="2"/>
  <c r="AV48" i="2"/>
  <c r="Y48" i="2"/>
  <c r="AV47" i="2"/>
  <c r="Y47" i="2"/>
  <c r="AV46" i="2"/>
  <c r="Y46" i="2"/>
  <c r="AV45" i="2"/>
  <c r="Y45" i="2"/>
  <c r="AV44" i="2"/>
  <c r="Y44" i="2"/>
  <c r="AV43" i="2"/>
  <c r="Y43" i="2"/>
  <c r="AV42" i="2"/>
  <c r="Y42" i="2"/>
  <c r="AV41" i="2"/>
  <c r="Y41" i="2"/>
  <c r="AV40" i="2"/>
  <c r="Y40" i="2"/>
  <c r="AV39" i="2"/>
  <c r="Y39" i="2"/>
  <c r="AV38" i="2"/>
  <c r="Y38" i="2"/>
  <c r="AV37" i="2"/>
  <c r="Y37" i="2"/>
  <c r="AV36" i="2"/>
  <c r="Y36" i="2"/>
  <c r="AV35" i="2"/>
  <c r="Y35" i="2"/>
  <c r="AV34" i="2"/>
  <c r="Y34" i="2"/>
  <c r="AV33" i="2"/>
  <c r="Y33" i="2"/>
  <c r="AV32" i="2"/>
  <c r="Y32" i="2"/>
  <c r="AV31" i="2"/>
  <c r="Y31" i="2"/>
  <c r="AV30" i="2"/>
  <c r="Y30" i="2"/>
  <c r="AV29" i="2"/>
  <c r="Y29" i="2"/>
  <c r="AV28" i="2"/>
  <c r="Y28" i="2"/>
  <c r="AV27" i="2"/>
  <c r="Y27" i="2"/>
  <c r="AV26" i="2"/>
  <c r="Y26" i="2"/>
  <c r="AV25" i="2"/>
  <c r="Y25" i="2"/>
  <c r="AV24" i="2"/>
  <c r="Y24" i="2"/>
  <c r="AV23" i="2"/>
  <c r="Y23" i="2"/>
  <c r="AV22" i="2"/>
  <c r="Y22" i="2"/>
  <c r="AV21" i="2"/>
  <c r="Y21" i="2"/>
  <c r="AV20" i="2"/>
  <c r="Y20" i="2"/>
  <c r="AV19" i="2"/>
  <c r="Y19" i="2"/>
  <c r="AV18" i="2"/>
  <c r="Y18" i="2"/>
  <c r="AV17" i="2"/>
  <c r="Y17" i="2"/>
  <c r="AV16" i="2"/>
  <c r="Y16" i="2"/>
  <c r="AV15" i="2"/>
  <c r="Y15" i="2"/>
  <c r="AV14" i="2"/>
  <c r="Y14" i="2"/>
  <c r="AV13" i="2"/>
  <c r="Y13" i="2"/>
  <c r="AV12" i="2"/>
  <c r="Y12" i="2"/>
  <c r="AV11" i="2"/>
  <c r="Y11" i="2"/>
  <c r="AV10" i="2"/>
  <c r="Y10" i="2"/>
  <c r="AV9" i="2"/>
  <c r="Y9" i="2"/>
  <c r="AV8" i="2"/>
  <c r="Y8" i="2"/>
  <c r="AV7" i="2"/>
  <c r="Y7" i="2"/>
  <c r="AV6" i="2"/>
  <c r="Y6" i="2"/>
  <c r="AV5" i="2"/>
  <c r="Y5" i="2"/>
  <c r="AV4" i="2"/>
  <c r="Y4" i="2"/>
  <c r="AV3" i="2"/>
  <c r="Y3" i="2"/>
  <c r="AV2" i="2"/>
  <c r="Y2" i="2"/>
  <c r="G11" i="1" l="1"/>
  <c r="B82" i="2"/>
  <c r="F72" i="2"/>
  <c r="F73" i="2"/>
  <c r="F74" i="2"/>
  <c r="F75" i="2" l="1"/>
</calcChain>
</file>

<file path=xl/sharedStrings.xml><?xml version="1.0" encoding="utf-8"?>
<sst xmlns="http://schemas.openxmlformats.org/spreadsheetml/2006/main" count="3189" uniqueCount="1240">
  <si>
    <t>Grapevine Editorial Base — Excel Starter</t>
  </si>
  <si>
    <t>Quick KPIs</t>
  </si>
  <si>
    <t>Purpose</t>
  </si>
  <si>
    <t>Starter workbook for your editorial base library, source register, pattern register, thesis register, and update governance.</t>
  </si>
  <si>
    <t>Starter docs</t>
  </si>
  <si>
    <t>How to use</t>
  </si>
  <si>
    <t>1) Start in Library_Master. 2) Keep controlled fields consistent via the dropdowns. 3) Use Source_Register before adding new sources. 4) Review due items weekly.</t>
  </si>
  <si>
    <t>Core assets</t>
  </si>
  <si>
    <t>Included tabs</t>
  </si>
  <si>
    <t>Evergreen refs</t>
  </si>
  <si>
    <t>Status logic</t>
  </si>
  <si>
    <t>backlog → triage → validated → converted/published → archived</t>
  </si>
  <si>
    <t>Internal / mixed assets</t>
  </si>
  <si>
    <t>Scoring</t>
  </si>
  <si>
    <t>Editorial Value, Commercial Value, Reuse Potential are 1–5. Value Score auto-sums them.</t>
  </si>
  <si>
    <t>High priority items</t>
  </si>
  <si>
    <t>Review logic</t>
  </si>
  <si>
    <t>Review Due flags items whose Next Review Date is due or overdue.</t>
  </si>
  <si>
    <t>Owner tip</t>
  </si>
  <si>
    <t>Use one owner per row to avoid accountability drift.</t>
  </si>
  <si>
    <t>Short ID</t>
  </si>
  <si>
    <t>Title</t>
  </si>
  <si>
    <t>File Name</t>
  </si>
  <si>
    <t>KA Type</t>
  </si>
  <si>
    <t>Library Category</t>
  </si>
  <si>
    <t>Source</t>
  </si>
  <si>
    <t>Source Type</t>
  </si>
  <si>
    <t>Asset Format</t>
  </si>
  <si>
    <t>Sector</t>
  </si>
  <si>
    <t>Geography</t>
  </si>
  <si>
    <t>Company Relevance</t>
  </si>
  <si>
    <t>Theme</t>
  </si>
  <si>
    <t>Publication Date</t>
  </si>
  <si>
    <t>Ingest Date</t>
  </si>
  <si>
    <t>Last Reviewed</t>
  </si>
  <si>
    <t>Update Cadence</t>
  </si>
  <si>
    <t>Next Review Date</t>
  </si>
  <si>
    <t>Freshness Class</t>
  </si>
  <si>
    <t>Time Sensitivity</t>
  </si>
  <si>
    <t>Confidence</t>
  </si>
  <si>
    <t>Evidence Status</t>
  </si>
  <si>
    <t>Editorial Value</t>
  </si>
  <si>
    <t>Commercial Value</t>
  </si>
  <si>
    <t>Reuse Potential</t>
  </si>
  <si>
    <t>Value Score</t>
  </si>
  <si>
    <t>Novelty</t>
  </si>
  <si>
    <t>Priority</t>
  </si>
  <si>
    <t>Editorial Status</t>
  </si>
  <si>
    <t>Conversion Target</t>
  </si>
  <si>
    <t>Ready for Conversion</t>
  </si>
  <si>
    <t>Publishing Relevance</t>
  </si>
  <si>
    <t>Sensitivity</t>
  </si>
  <si>
    <t>Owner</t>
  </si>
  <si>
    <t>Reviewer</t>
  </si>
  <si>
    <t>Linked Patterns</t>
  </si>
  <si>
    <t>Linked Theses</t>
  </si>
  <si>
    <t>External URL</t>
  </si>
  <si>
    <t>Storage Status</t>
  </si>
  <si>
    <t>Executive Summary</t>
  </si>
  <si>
    <t>Why It Matters</t>
  </si>
  <si>
    <t>Editorial Angle Notes</t>
  </si>
  <si>
    <t>Commercial Use Notes</t>
  </si>
  <si>
    <t>Gaps / Follow-Up Needed</t>
  </si>
  <si>
    <t>Starter Pack 50</t>
  </si>
  <si>
    <t>Core Asset</t>
  </si>
  <si>
    <t>Evergreen</t>
  </si>
  <si>
    <t>Obsolete Risk</t>
  </si>
  <si>
    <t>Review Due</t>
  </si>
  <si>
    <t>EBL-0001</t>
  </si>
  <si>
    <t>Bain Global Private Equity Report 2025</t>
  </si>
  <si>
    <t>ka_benchmark_Bain_Global_PE_Global_2025_v1</t>
  </si>
  <si>
    <t>ka_benchmark</t>
  </si>
  <si>
    <t>Core Market</t>
  </si>
  <si>
    <t>Bain &amp; Company</t>
  </si>
  <si>
    <t>external</t>
  </si>
  <si>
    <t>pdf</t>
  </si>
  <si>
    <t>Cross-Sector</t>
  </si>
  <si>
    <t>Global; Europe</t>
  </si>
  <si>
    <t>PE-backed; Corporate Buyer</t>
  </si>
  <si>
    <t>Private Equity; Valuation; Macro Context</t>
  </si>
  <si>
    <t>annual</t>
  </si>
  <si>
    <t>recent</t>
  </si>
  <si>
    <t>medium</t>
  </si>
  <si>
    <t>high</t>
  </si>
  <si>
    <t>multi_source</t>
  </si>
  <si>
    <t>contextual</t>
  </si>
  <si>
    <t>validated</t>
  </si>
  <si>
    <t>Knowledge Card; Thesis</t>
  </si>
  <si>
    <t>public</t>
  </si>
  <si>
    <t>Editor</t>
  </si>
  <si>
    <t>https://www.bain.com/</t>
  </si>
  <si>
    <t>linked</t>
  </si>
  <si>
    <t>Annual PE benchmark report for cycle, dry powder, multiples and exits.</t>
  </si>
  <si>
    <t>Citation backbone for market framing and PE logic.</t>
  </si>
  <si>
    <t>PE climate, exit environment, pricing pressure.</t>
  </si>
  <si>
    <t>Useful in founder and buyer conversations.</t>
  </si>
  <si>
    <t>Add prior-year comparison note</t>
  </si>
  <si>
    <t>low</t>
  </si>
  <si>
    <t>EBL-0002</t>
  </si>
  <si>
    <t>Bain Global Private Equity Report 2024</t>
  </si>
  <si>
    <t>ka_benchmark_Bain_Global_PE_Global_2024_v1</t>
  </si>
  <si>
    <t>reference</t>
  </si>
  <si>
    <t>timeless</t>
  </si>
  <si>
    <t>known_pattern</t>
  </si>
  <si>
    <t>Knowledge Card</t>
  </si>
  <si>
    <t>Prior-year PE benchmark for comparison.</t>
  </si>
  <si>
    <t>Useful for trend comparison against latest edition.</t>
  </si>
  <si>
    <t>Year-over-year context for market shifts.</t>
  </si>
  <si>
    <t>Reference in longitudinal analysis.</t>
  </si>
  <si>
    <t>Check delta vs 2025</t>
  </si>
  <si>
    <t>EBL-0003</t>
  </si>
  <si>
    <t>PitchBook European PE &amp; M&amp;A Outlook</t>
  </si>
  <si>
    <t>ka_benchmark_PitchBook_European_PE_MA_Europe_2026_v1</t>
  </si>
  <si>
    <t>PitchBook</t>
  </si>
  <si>
    <t>Europe</t>
  </si>
  <si>
    <t>Private Equity; Valuation; Deal Execution</t>
  </si>
  <si>
    <t>quarterly</t>
  </si>
  <si>
    <t>restricted</t>
  </si>
  <si>
    <t>Analyst</t>
  </si>
  <si>
    <t>https://pitchbook.com/</t>
  </si>
  <si>
    <t>European dealflow, exits and valuation outlook.</t>
  </si>
  <si>
    <t>Important for Europe-specific pricing and timing narratives.</t>
  </si>
  <si>
    <t>Use for pressure on exits and buyer behavior.</t>
  </si>
  <si>
    <t>Strong for mandate conversations.</t>
  </si>
  <si>
    <t>Add subscription storage copy</t>
  </si>
  <si>
    <t>EBL-0004</t>
  </si>
  <si>
    <t>PitchBook Valuations Report</t>
  </si>
  <si>
    <t>ka_benchmark_PitchBook_Valuations_Global_2026_v1</t>
  </si>
  <si>
    <t>Global</t>
  </si>
  <si>
    <t>Valuation; Private Equity</t>
  </si>
  <si>
    <t>triage</t>
  </si>
  <si>
    <t>Valuation trends with broader market context.</t>
  </si>
  <si>
    <t>Useful to triangulate pricing narratives.</t>
  </si>
  <si>
    <t>Can support EV/EBITDA context pieces.</t>
  </si>
  <si>
    <t>Useful in buyer valuation framing.</t>
  </si>
  <si>
    <t>Need extract sector-specific points</t>
  </si>
  <si>
    <t>EBL-0005</t>
  </si>
  <si>
    <t>Argos Mid-Market Index Q1 2026</t>
  </si>
  <si>
    <t>ka_benchmark_Argos_Midmarket_Index_Europe_2026Q1_v1</t>
  </si>
  <si>
    <t>Argos Wityu</t>
  </si>
  <si>
    <t>Founder-led; Family-owned; Independent SME</t>
  </si>
  <si>
    <t>new</t>
  </si>
  <si>
    <t>https://argos.wityu.fund/</t>
  </si>
  <si>
    <t>European mid-market multiple tracker.</t>
  </si>
  <si>
    <t>One of the strongest references for private mid-market pricing.</t>
  </si>
  <si>
    <t>Valuation benchmark for founder conversations.</t>
  </si>
  <si>
    <t>Highly useful in mandates.</t>
  </si>
  <si>
    <t>Need Q2 slot reservation</t>
  </si>
  <si>
    <t>EBL-0006</t>
  </si>
  <si>
    <t>Argos Mid-Market Index Q4 2025</t>
  </si>
  <si>
    <t>ka_benchmark_Argos_Midmarket_Index_Europe_2025Q4_v1</t>
  </si>
  <si>
    <t>Founder-led; Family-owned</t>
  </si>
  <si>
    <t>Prior quarter Argos reference.</t>
  </si>
  <si>
    <t>Useful for quarter-over-quarter multiple trend.</t>
  </si>
  <si>
    <t>Can feed chart updates.</t>
  </si>
  <si>
    <t>Useful for discussion prep.</t>
  </si>
  <si>
    <t>Need compare with Q1</t>
  </si>
  <si>
    <t>EBL-0007</t>
  </si>
  <si>
    <t>Clearwater Mid-Market Monitor H1 2026</t>
  </si>
  <si>
    <t>ka_benchmark_Clearwater_Midmarket_Monitor_Europe_2026H1_v1</t>
  </si>
  <si>
    <t>Clearwater International</t>
  </si>
  <si>
    <t>Europe; Benelux</t>
  </si>
  <si>
    <t>Private Equity; Sector Consolidation</t>
  </si>
  <si>
    <t>single_source</t>
  </si>
  <si>
    <t>https://www.clearwaterinternational.com/</t>
  </si>
  <si>
    <t>Mid-market activity monitor with sector views.</t>
  </si>
  <si>
    <t>Good practical monitor for Benelux-facing conversations.</t>
  </si>
  <si>
    <t>Can support sector heatmaps and local momentum notes.</t>
  </si>
  <si>
    <t>Useful in outreach preparation.</t>
  </si>
  <si>
    <t>Need validate with another source</t>
  </si>
  <si>
    <t>EBL-0008</t>
  </si>
  <si>
    <t>Clearwater Mid-Market Monitor Q4 2025</t>
  </si>
  <si>
    <t>ka_benchmark_Clearwater_Midmarket_Monitor_Europe_2025Q4_v1</t>
  </si>
  <si>
    <t>backlog</t>
  </si>
  <si>
    <t>Prior period mid-market monitor.</t>
  </si>
  <si>
    <t>Historical compare for trend pieces.</t>
  </si>
  <si>
    <t>Useful for quarter comparison.</t>
  </si>
  <si>
    <t>Moderate commercial value.</t>
  </si>
  <si>
    <t>Needs summary extraction</t>
  </si>
  <si>
    <t>EBL-0009</t>
  </si>
  <si>
    <t>Vlerick M&amp;A Monitor Belux</t>
  </si>
  <si>
    <t>ka_benchmark_Vlerick_MA_Monitor_Belux_2025_v1</t>
  </si>
  <si>
    <t>Vlerick</t>
  </si>
  <si>
    <t>Belgium; Benelux</t>
  </si>
  <si>
    <t>Succession; Private Equity; Macro Context</t>
  </si>
  <si>
    <t>https://www.vlerick.com/</t>
  </si>
  <si>
    <t>Belux-specific M&amp;A market monitor.</t>
  </si>
  <si>
    <t>Local credibility layer for conversations in Belgium.</t>
  </si>
  <si>
    <t>Can anchor local market articles and founder pieces.</t>
  </si>
  <si>
    <t>Highly useful commercially in Belux.</t>
  </si>
  <si>
    <t>Check for newest edition</t>
  </si>
  <si>
    <t>EBL-0010</t>
  </si>
  <si>
    <t>Invest Europe Annual Activity Report</t>
  </si>
  <si>
    <t>ka_benchmark_InvestEurope_Activity_Europe_2025_v1</t>
  </si>
  <si>
    <t>Invest Europe</t>
  </si>
  <si>
    <t>Private Equity; Macro Context</t>
  </si>
  <si>
    <t>https://www.investeurope.eu/</t>
  </si>
  <si>
    <t>Annual European PE activity data.</t>
  </si>
  <si>
    <t>Useful for Europe-wide context and exits.</t>
  </si>
  <si>
    <t>Supports broad market sizing and cycle articles.</t>
  </si>
  <si>
    <t>Commercially relevant in investor discussions.</t>
  </si>
  <si>
    <t>Need key charts extraction</t>
  </si>
  <si>
    <t>EBL-0011</t>
  </si>
  <si>
    <t>McKinsey Private Markets Annual Review</t>
  </si>
  <si>
    <t>ka_benchmark_McKinsey_Private_Markets_Global_2025_v1</t>
  </si>
  <si>
    <t>Investor Models</t>
  </si>
  <si>
    <t>McKinsey</t>
  </si>
  <si>
    <t>https://www.mckinsey.com/</t>
  </si>
  <si>
    <t>Broad review of private markets dynamics.</t>
  </si>
  <si>
    <t>Useful as a high-level PE framing source.</t>
  </si>
  <si>
    <t>Can support thought leadership and investor behavior context.</t>
  </si>
  <si>
    <t>Moderate direct mandate value.</t>
  </si>
  <si>
    <t>Need distill non-obvious angles</t>
  </si>
  <si>
    <t>EBL-0012</t>
  </si>
  <si>
    <t>BDO Private Equity Sentiment Survey</t>
  </si>
  <si>
    <t>ka_benchmark_BDO_PE_Sentiment_Global_2025_v1</t>
  </si>
  <si>
    <t>Valuation &amp; Capital</t>
  </si>
  <si>
    <t>BDO</t>
  </si>
  <si>
    <t>Buyer Psychology; Private Equity</t>
  </si>
  <si>
    <t>https://www.bdo.global/</t>
  </si>
  <si>
    <t>PE sentiment survey with buyer expectations.</t>
  </si>
  <si>
    <t>Good soft layer for buyer mood and expectations.</t>
  </si>
  <si>
    <t>Useful in buyer psychology narratives.</t>
  </si>
  <si>
    <t>Helpful but not definitive commercially.</t>
  </si>
  <si>
    <t>Need cross-check with other sentiment data</t>
  </si>
  <si>
    <t>EBL-0013</t>
  </si>
  <si>
    <t>Damodaran Latest Dataset</t>
  </si>
  <si>
    <t>ka_benchmark_Damodaran_Valuation_Global_2026_v1</t>
  </si>
  <si>
    <t>V4G Internal</t>
  </si>
  <si>
    <t>mixed</t>
  </si>
  <si>
    <t>dataset</t>
  </si>
  <si>
    <t>Corporate Buyer; PE-backed</t>
  </si>
  <si>
    <t>Valuation; Capital Structure</t>
  </si>
  <si>
    <t>Internal Standard; Knowledge Card</t>
  </si>
  <si>
    <t>internal_only</t>
  </si>
  <si>
    <t>internal</t>
  </si>
  <si>
    <t>https://pages.stern.nyu.edu/~adamodar/</t>
  </si>
  <si>
    <t>Annual valuation reference set for betas, risk premiums and market assumptions.</t>
  </si>
  <si>
    <t>Core technical backbone for valuation discipline.</t>
  </si>
  <si>
    <t>Can feed internal standards and external framing carefully.</t>
  </si>
  <si>
    <t>Very high commercial value.</t>
  </si>
  <si>
    <t>Need house assumptions overlay</t>
  </si>
  <si>
    <t>EBL-0014</t>
  </si>
  <si>
    <t>Damodaran Prior-Year Dataset</t>
  </si>
  <si>
    <t>ka_benchmark_Damodaran_Valuation_Global_2025_v1</t>
  </si>
  <si>
    <t>Internal Standard</t>
  </si>
  <si>
    <t>Prior year dataset for trend comparison.</t>
  </si>
  <si>
    <t>Useful for change-over-time valuation assumptions.</t>
  </si>
  <si>
    <t>Internal reference only.</t>
  </si>
  <si>
    <t>Commercial support use.</t>
  </si>
  <si>
    <t>Keep for longitudinal checks</t>
  </si>
  <si>
    <t>EBL-0015</t>
  </si>
  <si>
    <t>Lincoln International Private Market Index Q1 2026</t>
  </si>
  <si>
    <t>ka_benchmark_Lincoln_Private_Market_Index_Global_2026Q1_v1</t>
  </si>
  <si>
    <t>Lincoln International</t>
  </si>
  <si>
    <t>https://www.lincolninternational.com/</t>
  </si>
  <si>
    <t>Quarterly private market pricing and performance reference.</t>
  </si>
  <si>
    <t>Strong source for practical private market pricing context.</t>
  </si>
  <si>
    <t>Excellent for valuation conversations and content.</t>
  </si>
  <si>
    <t>High commercial relevance.</t>
  </si>
  <si>
    <t>Track next quarter release</t>
  </si>
  <si>
    <t>EBL-0016</t>
  </si>
  <si>
    <t>Lincoln International Private Market Index Q4 2025</t>
  </si>
  <si>
    <t>ka_benchmark_Lincoln_Private_Market_Index_Global_2025Q4_v1</t>
  </si>
  <si>
    <t>Prior-quarter private market index.</t>
  </si>
  <si>
    <t>Useful for q/q trend narrative.</t>
  </si>
  <si>
    <t>Supports valuation charts.</t>
  </si>
  <si>
    <t>Useful commercially.</t>
  </si>
  <si>
    <t>Need compare to Q1</t>
  </si>
  <si>
    <t>EBL-0017</t>
  </si>
  <si>
    <t>Debt &amp; Leverage Trends (ECB / Bank Source)</t>
  </si>
  <si>
    <t>ka_benchmark_ECB_Debt_Leverage_Europe_2026_v1</t>
  </si>
  <si>
    <t>ECB</t>
  </si>
  <si>
    <t>Capital Structure; Macro Context</t>
  </si>
  <si>
    <t>monthly</t>
  </si>
  <si>
    <t>Knowledge Card; Internal Standard</t>
  </si>
  <si>
    <t>https://www.ecb.europa.eu/</t>
  </si>
  <si>
    <t>Debt and rate environment context for leverage availability.</t>
  </si>
  <si>
    <t>Important for capital structure and execution realism.</t>
  </si>
  <si>
    <t>Can support 'certainty matters' pieces.</t>
  </si>
  <si>
    <t>Very useful commercially.</t>
  </si>
  <si>
    <t>Need simple summary for partners</t>
  </si>
  <si>
    <t>EBL-0018</t>
  </si>
  <si>
    <t>Vendor Loan Benchmark — Internal v1</t>
  </si>
  <si>
    <t>ka_internal_standard_V4G_Vendor_Loan_Benchmark_BE_2026_v1</t>
  </si>
  <si>
    <t>ka_internal_standard</t>
  </si>
  <si>
    <t>memo</t>
  </si>
  <si>
    <t>Vendor Loan; Negotiation; Capital Structure</t>
  </si>
  <si>
    <t>live</t>
  </si>
  <si>
    <t>Partner</t>
  </si>
  <si>
    <t>attached</t>
  </si>
  <si>
    <t>Internal benchmark ranges and usage patterns for vendor loans.</t>
  </si>
  <si>
    <t>Core house IP for structuring conversations.</t>
  </si>
  <si>
    <t>Can evolve into strong internal standards and selected editorial snippets.</t>
  </si>
  <si>
    <t>Very high mandate value.</t>
  </si>
  <si>
    <t>Need collect more deal examples</t>
  </si>
  <si>
    <t>EBL-0019</t>
  </si>
  <si>
    <t>Earn-Out Structures — Internal v1</t>
  </si>
  <si>
    <t>ka_internal_standard_V4G_Earnout_Structures_BE_2026_v1</t>
  </si>
  <si>
    <t>Founder-led; Family-owned; PE-backed</t>
  </si>
  <si>
    <t>Earn-Out; Negotiation; Deal Execution</t>
  </si>
  <si>
    <t>Internal patterns and market standards for earn-outs.</t>
  </si>
  <si>
    <t>High-value structuring intelligence.</t>
  </si>
  <si>
    <t>Potential strong thought leadership source when abstracted.</t>
  </si>
  <si>
    <t>Very strong commercial relevance.</t>
  </si>
  <si>
    <t>Need examples by sector</t>
  </si>
  <si>
    <t>EBL-0020</t>
  </si>
  <si>
    <t>Rollover Benchmarks — Internal v1</t>
  </si>
  <si>
    <t>ka_internal_standard_V4G_Rollover_Benchmarks_Benelux_2026_v1</t>
  </si>
  <si>
    <t>Benelux</t>
  </si>
  <si>
    <t>Rollover; Negotiation; Capital Structure</t>
  </si>
  <si>
    <t>Internal memo on rollover ranges and mechanics.</t>
  </si>
  <si>
    <t>Key for equity rollover negotiation context.</t>
  </si>
  <si>
    <t>Can sharpen partner conversations.</t>
  </si>
  <si>
    <t>High commercial utility.</t>
  </si>
  <si>
    <t>Need standard examples</t>
  </si>
  <si>
    <t>EBL-0021</t>
  </si>
  <si>
    <t>Working Capital Adjustment Patterns — Internal v1</t>
  </si>
  <si>
    <t>ka_pattern_V4G_Working_Capital_Adjustment_Benelux_2026_v1</t>
  </si>
  <si>
    <t>ka_pattern</t>
  </si>
  <si>
    <t>Working Capital; Deal Execution; Failure Analysis</t>
  </si>
  <si>
    <t>Pattern; Failure Pattern; Internal Standard</t>
  </si>
  <si>
    <t>Internal pattern memo on common working capital adjustment frictions.</t>
  </si>
  <si>
    <t>Potentially one of the strongest process alpha assets.</t>
  </si>
  <si>
    <t>Can support articles on hidden deal killers.</t>
  </si>
  <si>
    <t>Extremely useful commercially.</t>
  </si>
  <si>
    <t>Need collect failed-case examples</t>
  </si>
  <si>
    <t>EBL-0022</t>
  </si>
  <si>
    <t>IESE Search Fund Primer</t>
  </si>
  <si>
    <t>ka_framework_IESE_Search_Fund_Primer_Global_2025_v1</t>
  </si>
  <si>
    <t>ka_framework</t>
  </si>
  <si>
    <t>Playbooks</t>
  </si>
  <si>
    <t>IESE</t>
  </si>
  <si>
    <t>Search Fund; Independent SME</t>
  </si>
  <si>
    <t>Search Fund; Deal Execution</t>
  </si>
  <si>
    <t>https://www.iese.edu/</t>
  </si>
  <si>
    <t>Canonical search fund primer.</t>
  </si>
  <si>
    <t>Strong framework source for entrepreneurial buyouts.</t>
  </si>
  <si>
    <t>Good for search content and buyer mapping.</t>
  </si>
  <si>
    <t>Commercially useful in search discussions.</t>
  </si>
  <si>
    <t>Check newest edition</t>
  </si>
  <si>
    <t>EBL-0023</t>
  </si>
  <si>
    <t>Harvard Business School Search Fund Study</t>
  </si>
  <si>
    <t>ka_framework_HBS_Search_Fund_Study_Global_2024_v1</t>
  </si>
  <si>
    <t>Harvard Business School</t>
  </si>
  <si>
    <t>Search Fund; Private Equity</t>
  </si>
  <si>
    <t>https://www.hbs.edu/</t>
  </si>
  <si>
    <t>Search fund outcomes and model study.</t>
  </si>
  <si>
    <t>Useful for longitudinal returns and fit discussion.</t>
  </si>
  <si>
    <t>Supports search fund education and content.</t>
  </si>
  <si>
    <t>Useful in search conversations.</t>
  </si>
  <si>
    <t>Need pair with IESE primer</t>
  </si>
  <si>
    <t>EBL-0024</t>
  </si>
  <si>
    <t>Transeo MBO/EBO Monitor</t>
  </si>
  <si>
    <t>ka_framework_Transeo_MBO_EBO_Europe_2025_v1</t>
  </si>
  <si>
    <t>Transeo</t>
  </si>
  <si>
    <t>Founder-led; Family-owned; Search Fund</t>
  </si>
  <si>
    <t>Succession; Search Fund; Deal Execution</t>
  </si>
  <si>
    <t>https://transeo-association.eu/</t>
  </si>
  <si>
    <t>European MBO/EBO monitor.</t>
  </si>
  <si>
    <t>Useful for management and entrepreneurial buyout routes.</t>
  </si>
  <si>
    <t>Good for succession alternatives narratives.</t>
  </si>
  <si>
    <t>Commercially useful in owner transition conversations.</t>
  </si>
  <si>
    <t>Need validate with local cases</t>
  </si>
  <si>
    <t>EBL-0025</t>
  </si>
  <si>
    <t>Deal Anatomy Template — Internal</t>
  </si>
  <si>
    <t>ka_internal_standard_V4G_Deal_Anatomy_Template_Global_2026_v1</t>
  </si>
  <si>
    <t>doc</t>
  </si>
  <si>
    <t>Cross-sector</t>
  </si>
  <si>
    <t>Deal Execution; Negotiation</t>
  </si>
  <si>
    <t>Template to capture how a deal actually unfolded.</t>
  </si>
  <si>
    <t>Critical for turning deal experience into reusable IP.</t>
  </si>
  <si>
    <t>Feeds patterns, failure library and training.</t>
  </si>
  <si>
    <t>High internal commercial leverage.</t>
  </si>
  <si>
    <t>Need standard fields locked</t>
  </si>
  <si>
    <t>EBL-0026</t>
  </si>
  <si>
    <t>Deal Timeline Template — Internal</t>
  </si>
  <si>
    <t>ka_internal_standard_V4G_Deal_Timeline_Template_Global_2026_v1</t>
  </si>
  <si>
    <t>Deal Execution; Pattern Detection</t>
  </si>
  <si>
    <t>Template to capture actual process timing.</t>
  </si>
  <si>
    <t>Essential to build time-to-close intelligence.</t>
  </si>
  <si>
    <t>Supports process benchmarking and founder expectation setting.</t>
  </si>
  <si>
    <t>Need stage definitions</t>
  </si>
  <si>
    <t>EBL-0027</t>
  </si>
  <si>
    <t>DD Friction Checklist — Internal</t>
  </si>
  <si>
    <t>ka_internal_standard_V4G_DD_Friction_Checklist_Global_2026_v1</t>
  </si>
  <si>
    <t>Due Diligence; Failure Analysis</t>
  </si>
  <si>
    <t>Internal Standard; Failure Pattern</t>
  </si>
  <si>
    <t>Checklist of due diligence frictions to capture systematically.</t>
  </si>
  <si>
    <t>Strong candidate for process alpha and failure prevention.</t>
  </si>
  <si>
    <t>Can become internal diagnostic and later external thought leadership.</t>
  </si>
  <si>
    <t>High commercial value.</t>
  </si>
  <si>
    <t>Need example frictions</t>
  </si>
  <si>
    <t>EBL-0028</t>
  </si>
  <si>
    <t>Hampleton Software M&amp;A Report</t>
  </si>
  <si>
    <t>ka_market_map_Hampleton_Software_Europe_2026_v1</t>
  </si>
  <si>
    <t>ka_market_map</t>
  </si>
  <si>
    <t>Sectors</t>
  </si>
  <si>
    <t>Software</t>
  </si>
  <si>
    <t>PE-backed; Corporate Buyer; Add-on Target</t>
  </si>
  <si>
    <t>Sector Consolidation; Valuation</t>
  </si>
  <si>
    <t>Software M&amp;A report placeholder for sector heatmap.</t>
  </si>
  <si>
    <t>Useful to build software market map and buyer logic.</t>
  </si>
  <si>
    <t>Feeds sector page and thematic content.</t>
  </si>
  <si>
    <t>Useful for software mandates.</t>
  </si>
  <si>
    <t>Confirm preferred source</t>
  </si>
  <si>
    <t>EBL-0029</t>
  </si>
  <si>
    <t>DC Advisory Healthcare Review</t>
  </si>
  <si>
    <t>ka_market_map_DCAdvisory_Healthcare_Europe_2026_v1</t>
  </si>
  <si>
    <t>DC Advisory</t>
  </si>
  <si>
    <t>Healthcare</t>
  </si>
  <si>
    <t>Founder-led; PE-backed; Corporate Buyer</t>
  </si>
  <si>
    <t>Sector Consolidation; Regulation</t>
  </si>
  <si>
    <t>https://www.dcaadvisory.com/</t>
  </si>
  <si>
    <t>Healthcare sector review and M&amp;A context.</t>
  </si>
  <si>
    <t>Important for healthcare regulation and consolidation angles.</t>
  </si>
  <si>
    <t>Can support thesis on compliance-driven activity.</t>
  </si>
  <si>
    <t>Useful in healthcare dialogues.</t>
  </si>
  <si>
    <t>Need extract Benelux angle</t>
  </si>
  <si>
    <t>EBL-0030</t>
  </si>
  <si>
    <t>Alantra Industrials Overview</t>
  </si>
  <si>
    <t>ka_market_map_Alantra_Industrials_Europe_2026_v1</t>
  </si>
  <si>
    <t>Alantra</t>
  </si>
  <si>
    <t>Industrials</t>
  </si>
  <si>
    <t>Founder-led; Family-owned; Corporate Buyer</t>
  </si>
  <si>
    <t>Sector Consolidation; Succession</t>
  </si>
  <si>
    <t>https://www.alantra.com/</t>
  </si>
  <si>
    <t>Industrials sector overview for M&amp;A context.</t>
  </si>
  <si>
    <t>Relevant for family-owned industrial transition cases.</t>
  </si>
  <si>
    <t>Supports succession and consolidation angles.</t>
  </si>
  <si>
    <t>High commercial relevance in industrial mandates.</t>
  </si>
  <si>
    <t>Need map sub-sectors</t>
  </si>
  <si>
    <t>EBL-0031</t>
  </si>
  <si>
    <t>Rabobank Food &amp; Agri Outlook</t>
  </si>
  <si>
    <t>ka_market_map_Rabobank_Food_Agri_Europe_2026_v1</t>
  </si>
  <si>
    <t>Rabobank</t>
  </si>
  <si>
    <t>Food &amp; Agri</t>
  </si>
  <si>
    <t>Sector Consolidation; Macro Context</t>
  </si>
  <si>
    <t>https://www.rabobank.com/</t>
  </si>
  <si>
    <t>Food &amp; agri outlook with sector implications.</t>
  </si>
  <si>
    <t>Strong source for sector economics and deal context.</t>
  </si>
  <si>
    <t>Can drive food &amp; agri sector page and editorials.</t>
  </si>
  <si>
    <t>Commercially useful in agro-related dialogues.</t>
  </si>
  <si>
    <t>Need link local examples</t>
  </si>
  <si>
    <t>EBL-0032</t>
  </si>
  <si>
    <t>Business Services Sector Report</t>
  </si>
  <si>
    <t>ka_market_map_V4G_Business_Services_Benelux_2026_v1</t>
  </si>
  <si>
    <t>derived</t>
  </si>
  <si>
    <t>Business Services</t>
  </si>
  <si>
    <t>Founder-led; PE-backed; Add-on Target</t>
  </si>
  <si>
    <t>Sector Consolidation; Private Equity</t>
  </si>
  <si>
    <t>Internal sector memo for business services.</t>
  </si>
  <si>
    <t>Good candidate for recurring sector map.</t>
  </si>
  <si>
    <t>Supports high-activity PE conversations.</t>
  </si>
  <si>
    <t>Strong commercial relevance.</t>
  </si>
  <si>
    <t>Need external source support</t>
  </si>
  <si>
    <t>EBL-0033</t>
  </si>
  <si>
    <t>Transport &amp; Logistics Sector Report</t>
  </si>
  <si>
    <t>ka_market_map_V4G_Transport_Logistics_Benelux_2026_v1</t>
  </si>
  <si>
    <t>Transport &amp; Logistics</t>
  </si>
  <si>
    <t>Founder-led; Family-owned; Add-on Target</t>
  </si>
  <si>
    <t>Internal transport and logistics sector memo.</t>
  </si>
  <si>
    <t>Useful for consolidation and regional buyer mapping.</t>
  </si>
  <si>
    <t>Can support origination and editorial coverage.</t>
  </si>
  <si>
    <t>Strong commercial value.</t>
  </si>
  <si>
    <t>Need add 3 external supports</t>
  </si>
  <si>
    <t>EBL-0034</t>
  </si>
  <si>
    <t>Construction / Infra Sector Report</t>
  </si>
  <si>
    <t>ka_market_map_V4G_Construction_Infra_Benelux_2026_v1</t>
  </si>
  <si>
    <t>Construction</t>
  </si>
  <si>
    <t>Internal construction and infra sector memo.</t>
  </si>
  <si>
    <t>Supports fragmentation and succession themes.</t>
  </si>
  <si>
    <t>Useful in mandate positioning.</t>
  </si>
  <si>
    <t>Need local market sizing</t>
  </si>
  <si>
    <t>EBL-0035</t>
  </si>
  <si>
    <t>Energy Transition M&amp;A Report</t>
  </si>
  <si>
    <t>ka_market_map_V4G_Energy_Transition_Europe_2026_v1</t>
  </si>
  <si>
    <t>Energy</t>
  </si>
  <si>
    <t>Sector Consolidation; Macro Context; Regulation</t>
  </si>
  <si>
    <t>Energy transition sector report placeholder.</t>
  </si>
  <si>
    <t>Potentially useful but less core initially.</t>
  </si>
  <si>
    <t>Could support thematic angles when relevant.</t>
  </si>
  <si>
    <t>Moderate commercial relevance.</t>
  </si>
  <si>
    <t>Need select external anchor sources</t>
  </si>
  <si>
    <t>EBL-0036</t>
  </si>
  <si>
    <t>PE Holding Periods Analysis — Internal</t>
  </si>
  <si>
    <t>ka_pattern_V4G_PE_Holding_Periods_Europe_2026_v1</t>
  </si>
  <si>
    <t>Private Equity; Pattern Detection</t>
  </si>
  <si>
    <t>Pattern; Thesis</t>
  </si>
  <si>
    <t>Internal view on hold periods and implications.</t>
  </si>
  <si>
    <t>Useful for exit pressure narratives.</t>
  </si>
  <si>
    <t>Can become recurring pattern asset.</t>
  </si>
  <si>
    <t>Helpful in investor conversations.</t>
  </si>
  <si>
    <t>Need benchmark support</t>
  </si>
  <si>
    <t>EBL-0037</t>
  </si>
  <si>
    <t>Platform vs Add-On Strategy Doc — Internal</t>
  </si>
  <si>
    <t>ka_pattern_V4G_Platform_vs_Addon_Europe_2026_v1</t>
  </si>
  <si>
    <t>PE-backed; Buy-and-Build Platform; Add-on Target</t>
  </si>
  <si>
    <t>Private Equity; Deal Execution</t>
  </si>
  <si>
    <t>Pattern; Internal Standard</t>
  </si>
  <si>
    <t>Internal strategy note on platform versus add-on behavior.</t>
  </si>
  <si>
    <t>Highly useful for buyer mapping and sell-side positioning.</t>
  </si>
  <si>
    <t>Can drive repeatable PE explanations.</t>
  </si>
  <si>
    <t>Need examples by fund type</t>
  </si>
  <si>
    <t>EBL-0038</t>
  </si>
  <si>
    <t>Sponsor Behavior Notes — Internal</t>
  </si>
  <si>
    <t>ka_pattern_V4G_Sponsor_Behavior_Europe_2026_v1</t>
  </si>
  <si>
    <t>PE-backed</t>
  </si>
  <si>
    <t>Pattern</t>
  </si>
  <si>
    <t>Internal notes on sponsor behavior and process style.</t>
  </si>
  <si>
    <t>Good input for buyer psychology library.</t>
  </si>
  <si>
    <t>Supports preparation and messaging.</t>
  </si>
  <si>
    <t>Moderate to high commercial value.</t>
  </si>
  <si>
    <t>Need codify by sponsor archetype</t>
  </si>
  <si>
    <t>EBL-0039</t>
  </si>
  <si>
    <t>Exit Timing Patterns — Internal</t>
  </si>
  <si>
    <t>ka_pattern_V4G_Exit_Timing_Europe_2026_v1</t>
  </si>
  <si>
    <t>Private Equity; Macro Context; Pattern Detection</t>
  </si>
  <si>
    <t>Internal memo on exit timing patterns and triggers.</t>
  </si>
  <si>
    <t>Useful for reading market windows and sponsor behavior.</t>
  </si>
  <si>
    <t>Can support strategic timing theses.</t>
  </si>
  <si>
    <t>Commercially relevant for preparation conversations.</t>
  </si>
  <si>
    <t>Need integrate macro layer</t>
  </si>
  <si>
    <t>EBL-0040</t>
  </si>
  <si>
    <t>IMF Economic Outlook</t>
  </si>
  <si>
    <t>ka_library_source_IMF_Economic_Outlook_Global_2026_v1</t>
  </si>
  <si>
    <t>ka_library_source</t>
  </si>
  <si>
    <t>Macro</t>
  </si>
  <si>
    <t>IMF</t>
  </si>
  <si>
    <t>Macro Context</t>
  </si>
  <si>
    <t>Thesis</t>
  </si>
  <si>
    <t>https://www.imf.org/</t>
  </si>
  <si>
    <t>Macro outlook source for broad economic framing.</t>
  </si>
  <si>
    <t>Useful for narrative backdrop, not core differentiation.</t>
  </si>
  <si>
    <t>Can support top-down timing pieces.</t>
  </si>
  <si>
    <t>Lower direct commercial value.</t>
  </si>
  <si>
    <t>Need concise extracts only</t>
  </si>
  <si>
    <t>EBL-0041</t>
  </si>
  <si>
    <t>OECD Economic Outlook</t>
  </si>
  <si>
    <t>ka_library_source_OECD_Economic_Outlook_Europe_2026_v1</t>
  </si>
  <si>
    <t>OECD</t>
  </si>
  <si>
    <t>https://www.oecd.org/</t>
  </si>
  <si>
    <t>OECD outlook with Europe emphasis.</t>
  </si>
  <si>
    <t>Useful for European economic framing.</t>
  </si>
  <si>
    <t>Can support articles on timing and climate.</t>
  </si>
  <si>
    <t>Low-to-moderate commercial value.</t>
  </si>
  <si>
    <t>Need selective usage</t>
  </si>
  <si>
    <t>EBL-0042</t>
  </si>
  <si>
    <t>EY CEO Outlook</t>
  </si>
  <si>
    <t>ka_library_source_EY_CEO_Outlook_Global_2025_v1</t>
  </si>
  <si>
    <t>EY</t>
  </si>
  <si>
    <t>Corporate Buyer</t>
  </si>
  <si>
    <t>Buyer Psychology; Macro Context</t>
  </si>
  <si>
    <t>https://www.ey.com/</t>
  </si>
  <si>
    <t>CEO outlook survey on strategic intent.</t>
  </si>
  <si>
    <t>Potential support for buyer appetite narratives.</t>
  </si>
  <si>
    <t>Use selectively in broader pieces.</t>
  </si>
  <si>
    <t>Low direct commercial relevance.</t>
  </si>
  <si>
    <t>Need test usefulness</t>
  </si>
  <si>
    <t>EBL-0043</t>
  </si>
  <si>
    <t>BCG M&amp;A Perspectives</t>
  </si>
  <si>
    <t>ka_library_source_BCG_MA_Perspectives_Global_2025_v1</t>
  </si>
  <si>
    <t>BCG</t>
  </si>
  <si>
    <t>Macro Context; Sector Consolidation</t>
  </si>
  <si>
    <t>https://www.bcg.com/</t>
  </si>
  <si>
    <t>M&amp;A perspectives source for framing and language.</t>
  </si>
  <si>
    <t>Useful as secondary support, not core edge.</t>
  </si>
  <si>
    <t>Can inspire narrative framing.</t>
  </si>
  <si>
    <t>Limited commercial value.</t>
  </si>
  <si>
    <t>Need extract any differentiated points</t>
  </si>
  <si>
    <t>EBL-0044</t>
  </si>
  <si>
    <t>Interest Rate Evolution (ECB)</t>
  </si>
  <si>
    <t>ka_library_source_ECB_Interest_Rates_Europe_2026_v1</t>
  </si>
  <si>
    <t>Macro Context; Capital Structure</t>
  </si>
  <si>
    <t>Rates dataset to contextualize leverage and deal appetite.</t>
  </si>
  <si>
    <t>Useful macro mechanic with real execution relevance.</t>
  </si>
  <si>
    <t>Supports debt-cost narratives and buyer caution points.</t>
  </si>
  <si>
    <t>Commercially useful in debt-sensitive conversations.</t>
  </si>
  <si>
    <t>Need simple chart layer</t>
  </si>
  <si>
    <t>EBL-0045</t>
  </si>
  <si>
    <t>Dealflow.news Top 10 Articles Bundle</t>
  </si>
  <si>
    <t>ka_editorial_angle_Dealflow_Bundle_Benelux_2026_v1</t>
  </si>
  <si>
    <t>ka_editorial_angle</t>
  </si>
  <si>
    <t>Editorial</t>
  </si>
  <si>
    <t>Dealflow.news</t>
  </si>
  <si>
    <t>bundle</t>
  </si>
  <si>
    <t>Editorial Narrative; Pattern Detection</t>
  </si>
  <si>
    <t>Editorial Angle; Thesis</t>
  </si>
  <si>
    <t>https://dealflow.news/</t>
  </si>
  <si>
    <t>Bundle of strongest existing editorial pieces.</t>
  </si>
  <si>
    <t>Key source for recycling house voice and ideas.</t>
  </si>
  <si>
    <t>Can be decomposed into patterns, angles and theses.</t>
  </si>
  <si>
    <t>High strategic editorial value.</t>
  </si>
  <si>
    <t>Need annotate per article</t>
  </si>
  <si>
    <t>EBL-0046</t>
  </si>
  <si>
    <t>LinkedIn Insights Bundle</t>
  </si>
  <si>
    <t>ka_signal_digest_LinkedIn_Insights_Benelux_2026_v1</t>
  </si>
  <si>
    <t>ka_signal_digest</t>
  </si>
  <si>
    <t>Partner Insight</t>
  </si>
  <si>
    <t>Editorial Narrative; Signal Detection</t>
  </si>
  <si>
    <t>weekly</t>
  </si>
  <si>
    <t>sensitive</t>
  </si>
  <si>
    <t>Signal Digest; Editorial Angle</t>
  </si>
  <si>
    <t>Curated bundle of LinkedIn observations and partner signals.</t>
  </si>
  <si>
    <t>Good soft-signal layer for topicality and watchlists.</t>
  </si>
  <si>
    <t>Can surface early editorial hooks.</t>
  </si>
  <si>
    <t>Useful commercially when linked to sectors.</t>
  </si>
  <si>
    <t>Need reliability grading</t>
  </si>
  <si>
    <t>EBL-0047</t>
  </si>
  <si>
    <t>Sector Theses Bundle — Internal</t>
  </si>
  <si>
    <t>ka_thesis_V4G_Sector_Theses_Benelux_2026_v1</t>
  </si>
  <si>
    <t>ka_thesis</t>
  </si>
  <si>
    <t>Editorial Narrative; Sector Consolidation</t>
  </si>
  <si>
    <t>Bundle of early sector theses for priority verticals.</t>
  </si>
  <si>
    <t>Could become the most differentiating editorial layer.</t>
  </si>
  <si>
    <t>Directly supports partner positioning and content.</t>
  </si>
  <si>
    <t>Very high commercial and editorial value.</t>
  </si>
  <si>
    <t>Need split into individual theses</t>
  </si>
  <si>
    <t>EBL-0048</t>
  </si>
  <si>
    <t>Buyer Mindset Memo — Internal</t>
  </si>
  <si>
    <t>ka_pattern_V4G_Buyer_Mindset_Benelux_2026_v1</t>
  </si>
  <si>
    <t>Patterns</t>
  </si>
  <si>
    <t>Buyer Psychology; Negotiation</t>
  </si>
  <si>
    <t>Internal memo on buyer conviction and hesitation patterns.</t>
  </si>
  <si>
    <t>Strong soft-power asset for process interpretation.</t>
  </si>
  <si>
    <t>Can support articles and negotiation preparation.</t>
  </si>
  <si>
    <t>Very high commercial use.</t>
  </si>
  <si>
    <t>Need archetypes and examples</t>
  </si>
  <si>
    <t>EBL-0049</t>
  </si>
  <si>
    <t>Founder Hesitation Memo — Internal</t>
  </si>
  <si>
    <t>ka_pattern_V4G_Founder_Hesitation_BE_2026_v1</t>
  </si>
  <si>
    <t>Founder Psychology; Succession</t>
  </si>
  <si>
    <t>Pattern; Thesis; Editorial Angle</t>
  </si>
  <si>
    <t>Internal founder hesitation pattern memo.</t>
  </si>
  <si>
    <t>Likely core proprietary insight library item.</t>
  </si>
  <si>
    <t>Very strong for both content and mandate work.</t>
  </si>
  <si>
    <t>Extremely high commercial relevance.</t>
  </si>
  <si>
    <t>Need map triggers by phase</t>
  </si>
  <si>
    <t>EBL-0050</t>
  </si>
  <si>
    <t>Negotiation Patterns Memo — Internal</t>
  </si>
  <si>
    <t>ka_pattern_V4G_Negotiation_Patterns_Benelux_2026_v1</t>
  </si>
  <si>
    <t>Negotiation; Deal Execution</t>
  </si>
  <si>
    <t>Internal memo on recurring negotiation patterns.</t>
  </si>
  <si>
    <t>Critical reusable process intelligence.</t>
  </si>
  <si>
    <t>Can support playbooks and editorial excerpts.</t>
  </si>
  <si>
    <t>Very high commercial utility.</t>
  </si>
  <si>
    <t>Need clause-level taxonomy</t>
  </si>
  <si>
    <t>Count</t>
  </si>
  <si>
    <t>Failure</t>
  </si>
  <si>
    <t>System</t>
  </si>
  <si>
    <t>Source Name</t>
  </si>
  <si>
    <t>Source Category</t>
  </si>
  <si>
    <t>Reliability</t>
  </si>
  <si>
    <t>Coverage</t>
  </si>
  <si>
    <t>Typical Cadence</t>
  </si>
  <si>
    <t>Paid / Free</t>
  </si>
  <si>
    <t>Default Freshness</t>
  </si>
  <si>
    <t>Source URL</t>
  </si>
  <si>
    <t>Notes</t>
  </si>
  <si>
    <t>consulting</t>
  </si>
  <si>
    <t>global; europe; private-equity</t>
  </si>
  <si>
    <t>free</t>
  </si>
  <si>
    <t>Core PE benchmark source</t>
  </si>
  <si>
    <t>data_provider</t>
  </si>
  <si>
    <t>global; europe; private-equity; valuation</t>
  </si>
  <si>
    <t>paid</t>
  </si>
  <si>
    <t>Valuation and dealflow data</t>
  </si>
  <si>
    <t>advisory_firm</t>
  </si>
  <si>
    <t>europe; mid-market</t>
  </si>
  <si>
    <t>Mid-market index reference</t>
  </si>
  <si>
    <t>europe; benelux; sector-specific</t>
  </si>
  <si>
    <t>Mid-market monitor and sector reports</t>
  </si>
  <si>
    <t>academic</t>
  </si>
  <si>
    <t>belgium; benelux</t>
  </si>
  <si>
    <t>Belux relevance</t>
  </si>
  <si>
    <t>global; valuation; private-equity</t>
  </si>
  <si>
    <t>Private market index</t>
  </si>
  <si>
    <t>global; private-equity</t>
  </si>
  <si>
    <t>PE sentiment</t>
  </si>
  <si>
    <t>Private markets review</t>
  </si>
  <si>
    <t>proprietary</t>
  </si>
  <si>
    <t>europe; private-equity</t>
  </si>
  <si>
    <t>European activity data</t>
  </si>
  <si>
    <t>bank</t>
  </si>
  <si>
    <t>europe; food &amp; agri</t>
  </si>
  <si>
    <t>Food &amp; agri intelligence</t>
  </si>
  <si>
    <t>europe; healthcare</t>
  </si>
  <si>
    <t>Healthcare sector review</t>
  </si>
  <si>
    <t>europe; industrials</t>
  </si>
  <si>
    <t>Industrials overview</t>
  </si>
  <si>
    <t>global; search-fund</t>
  </si>
  <si>
    <t>Search fund primer</t>
  </si>
  <si>
    <t>Search fund studies</t>
  </si>
  <si>
    <t>newsletter</t>
  </si>
  <si>
    <t>europe; mbo; succession</t>
  </si>
  <si>
    <t>MBO/EBO monitor</t>
  </si>
  <si>
    <t>regulator</t>
  </si>
  <si>
    <t>global; macro</t>
  </si>
  <si>
    <t>Macro outlook</t>
  </si>
  <si>
    <t>global; macro; europe</t>
  </si>
  <si>
    <t>Economic outlook</t>
  </si>
  <si>
    <t>global; corporate strategy</t>
  </si>
  <si>
    <t>CEO outlook</t>
  </si>
  <si>
    <t>global; m&amp;a</t>
  </si>
  <si>
    <t>M&amp;A perspectives</t>
  </si>
  <si>
    <t>europe; rates; macro</t>
  </si>
  <si>
    <t>Rates and debt environment</t>
  </si>
  <si>
    <t>media</t>
  </si>
  <si>
    <t>benelux; m&amp;a; editorial</t>
  </si>
  <si>
    <t>Editorial reuse source</t>
  </si>
  <si>
    <t>internal; proprietary</t>
  </si>
  <si>
    <t>ad_hoc</t>
  </si>
  <si>
    <t>Internal standards, patterns, case notes</t>
  </si>
  <si>
    <t>partner_input</t>
  </si>
  <si>
    <t>Partner notes and hypotheses</t>
  </si>
  <si>
    <t>Pattern Name</t>
  </si>
  <si>
    <t>Pattern Type</t>
  </si>
  <si>
    <t>Status</t>
  </si>
  <si>
    <t>First Seen</t>
  </si>
  <si>
    <t>Last Seen</t>
  </si>
  <si>
    <t>Frequency 90D</t>
  </si>
  <si>
    <t>Editorial Relevance</t>
  </si>
  <si>
    <t>Commercial Relevance</t>
  </si>
  <si>
    <t>Description</t>
  </si>
  <si>
    <t>Observable Signals</t>
  </si>
  <si>
    <t>Deal Implication</t>
  </si>
  <si>
    <t>Buyer / Founder Relevance</t>
  </si>
  <si>
    <t>Linked Library Item IDs</t>
  </si>
  <si>
    <t>Pattern Owner</t>
  </si>
  <si>
    <t>Review Cadence</t>
  </si>
  <si>
    <t>Needs Update</t>
  </si>
  <si>
    <t>Founder Hesitation Before LOI</t>
  </si>
  <si>
    <t>behavioral</t>
  </si>
  <si>
    <t>emerging</t>
  </si>
  <si>
    <t>Founder momentum slows just before formal commitment despite strong process logic.</t>
  </si>
  <si>
    <t>Longer response times; softer language; repeated timing objections; renewed identity concerns.</t>
  </si>
  <si>
    <t>Can delay or derail process unless certainty and role transition are managed.</t>
  </si>
  <si>
    <t>High relevance for founder-led sell-side mandates.</t>
  </si>
  <si>
    <t>Thesis Title</t>
  </si>
  <si>
    <t>Thesis Type</t>
  </si>
  <si>
    <t>Core Claim</t>
  </si>
  <si>
    <t>Supporting Evidence</t>
  </si>
  <si>
    <t>Counterpoints</t>
  </si>
  <si>
    <t>Audience</t>
  </si>
  <si>
    <t>Publication Potential</t>
  </si>
  <si>
    <t>Mid-Market Buyers Are Paying for Certainty, Not Just Growth</t>
  </si>
  <si>
    <t>valuation</t>
  </si>
  <si>
    <t>idea</t>
  </si>
  <si>
    <t>In the current market, process certainty and clean execution increasingly outweigh pure top-line growth in buyer willingness to pay.</t>
  </si>
  <si>
    <t>Useful for editorial positioning and founder conversations about preparation quality.</t>
  </si>
  <si>
    <t>Combine benchmarks, internal case notes, and working capital friction patterns.</t>
  </si>
  <si>
    <t>Some sectors still price aggressively for growth alone.</t>
  </si>
  <si>
    <t>Founder Hesitation Before LOI; Working Capital Shock at Closing</t>
  </si>
  <si>
    <t>EBL-0001; EBL-0013; EBL-0018</t>
  </si>
  <si>
    <t>founders; buyers; investors</t>
  </si>
  <si>
    <t>Default Cadence</t>
  </si>
  <si>
    <t>Typical Owner</t>
  </si>
  <si>
    <t>Review Trigger</t>
  </si>
  <si>
    <t>Recommended Action</t>
  </si>
  <si>
    <t>Next Review Rule</t>
  </si>
  <si>
    <t>Editor / Analyst</t>
  </si>
  <si>
    <t>Every week</t>
  </si>
  <si>
    <t>Refresh signals and archive stale items</t>
  </si>
  <si>
    <t>+7 days</t>
  </si>
  <si>
    <t>Quarterly or new edition</t>
  </si>
  <si>
    <t>Update benchmark record and compare with prior version</t>
  </si>
  <si>
    <t>+3 months</t>
  </si>
  <si>
    <t>Analyst / Sector lead</t>
  </si>
  <si>
    <t>Quarterly or new report</t>
  </si>
  <si>
    <t>Refresh sector maps, pricing, consolidation notes</t>
  </si>
  <si>
    <t>Annual or new edition</t>
  </si>
  <si>
    <t>Check whether framework still reflects market practice</t>
  </si>
  <si>
    <t>+12 months</t>
  </si>
  <si>
    <t>Editor / Partner</t>
  </si>
  <si>
    <t>Monthly</t>
  </si>
  <si>
    <t>Validate pattern recurrence and link new supporting items</t>
  </si>
  <si>
    <t>+1 month</t>
  </si>
  <si>
    <t>ka_failure_pattern</t>
  </si>
  <si>
    <t>Monthly / after failed process</t>
  </si>
  <si>
    <t>Log failure factors and early-warning signals</t>
  </si>
  <si>
    <t>Quarterly</t>
  </si>
  <si>
    <t>Reassess claim strength, evidence and publication potential</t>
  </si>
  <si>
    <t>Weekly</t>
  </si>
  <si>
    <t>Promote, merge, or archive angles based on market relevance</t>
  </si>
  <si>
    <t>Partner / Editor</t>
  </si>
  <si>
    <t>Refresh house view and norms</t>
  </si>
  <si>
    <t>Annual</t>
  </si>
  <si>
    <t>Verify if source remains core and active</t>
  </si>
  <si>
    <t>Pattern Status</t>
  </si>
  <si>
    <t>Thesis Status</t>
  </si>
  <si>
    <t>Paid/Free</t>
  </si>
  <si>
    <t>daily</t>
  </si>
  <si>
    <t>strategic</t>
  </si>
  <si>
    <t>editorial</t>
  </si>
  <si>
    <t>Founder-led</t>
  </si>
  <si>
    <t>active</t>
  </si>
  <si>
    <t>sector</t>
  </si>
  <si>
    <t>building</t>
  </si>
  <si>
    <t>Family-owned</t>
  </si>
  <si>
    <t>note</t>
  </si>
  <si>
    <t>macro</t>
  </si>
  <si>
    <t>supported</t>
  </si>
  <si>
    <t>sheet</t>
  </si>
  <si>
    <t>archive</t>
  </si>
  <si>
    <t>unknown</t>
  </si>
  <si>
    <t>converted</t>
  </si>
  <si>
    <t>execution</t>
  </si>
  <si>
    <t>declining</t>
  </si>
  <si>
    <t>published</t>
  </si>
  <si>
    <t>Search Fund</t>
  </si>
  <si>
    <t>slide</t>
  </si>
  <si>
    <t>unverified</t>
  </si>
  <si>
    <t>failure</t>
  </si>
  <si>
    <t>archived</t>
  </si>
  <si>
    <t>succession</t>
  </si>
  <si>
    <t>link</t>
  </si>
  <si>
    <t>investor</t>
  </si>
  <si>
    <t>Independent SME</t>
  </si>
  <si>
    <t>article</t>
  </si>
  <si>
    <t>Buy-and-Build Platform</t>
  </si>
  <si>
    <t>Add-on Target</t>
  </si>
  <si>
    <t>Succession Situation</t>
  </si>
  <si>
    <t>Asset Class</t>
  </si>
  <si>
    <t>commodity</t>
  </si>
  <si>
    <t>EBL-0051</t>
  </si>
  <si>
    <t>Deal Failure Case Register — Internal</t>
  </si>
  <si>
    <t>ka_failure_pattern_V4G_Deal_Failure_Register_Benelux_2026_v1</t>
  </si>
  <si>
    <t>Failure Analysis; Deal Execution; Pattern Detection</t>
  </si>
  <si>
    <t>Failure Pattern; Internal Standard</t>
  </si>
  <si>
    <t>Structured register capturing deals that did NOT close — why, when, and what signals preceded failure.</t>
  </si>
  <si>
    <t>Pure alpha. Nobody builds this. Feeds failure prevention and process credibility.</t>
  </si>
  <si>
    <t>Hidden deal killers, failure taxonomy, early-warning signals.</t>
  </si>
  <si>
    <t>Extremely high — prevents repeated mistakes and builds founder trust.</t>
  </si>
  <si>
    <t>Need minimum 5 case entries to activate</t>
  </si>
  <si>
    <t>EBL-0052</t>
  </si>
  <si>
    <t>Failure Trigger Taxonomy — Internal</t>
  </si>
  <si>
    <t>ka_failure_pattern_V4G_Failure_Triggers_Benelux_2026_v1</t>
  </si>
  <si>
    <t>Failure Analysis; Negotiation; Due Diligence</t>
  </si>
  <si>
    <t>Taxonomy of failure triggers: pricing mismatch, DD friction, founder cold feet, buyer withdrawal, regulatory block.</t>
  </si>
  <si>
    <t>Converts raw failure data into codified intelligence for pattern detection.</t>
  </si>
  <si>
    <t>Failure categories, trigger mapping, prevention playbooks.</t>
  </si>
  <si>
    <t>High — enables proactive risk management in live processes.</t>
  </si>
  <si>
    <t>Need classify triggers by deal phase</t>
  </si>
  <si>
    <t>EBL-0053</t>
  </si>
  <si>
    <t>Phase Failure Analysis — Internal</t>
  </si>
  <si>
    <t>ka_failure_pattern_V4G_Phase_Failure_Benelux_2026_v1</t>
  </si>
  <si>
    <t>Failure Pattern; Knowledge Card</t>
  </si>
  <si>
    <t>Analysis of WHEN deals fail by process phase: pre-LOI, DD, SPA negotiation, closing conditions.</t>
  </si>
  <si>
    <t>Maps failure risk by phase — enables targeted intervention at high-risk moments.</t>
  </si>
  <si>
    <t>Phase-specific failure rates, intervention windows, preventive actions.</t>
  </si>
  <si>
    <t>Very high — directly feeds process management and founder expectation setting.</t>
  </si>
  <si>
    <t>Need minimum 10 data points per phase</t>
  </si>
  <si>
    <t>EBL-0054</t>
  </si>
  <si>
    <t>Time-to-Close: Sector vs Speed — Internal</t>
  </si>
  <si>
    <t>ka_pattern_V4G_Time_to_Close_Sector_Benelux_2026_v1</t>
  </si>
  <si>
    <t>Deal Execution; Pattern Detection; Sector Consolidation</t>
  </si>
  <si>
    <t>Dataset tracking average time-to-close by sector — reveals which verticals move fast or slow.</t>
  </si>
  <si>
    <t>Extreem waardevol voor buy-side positioning en founder expectation management.</t>
  </si>
  <si>
    <t>Sector speed rankings, bottleneck identification, process benchmarking.</t>
  </si>
  <si>
    <t>Very high — sets realistic timelines in mandates and impresses buyers.</t>
  </si>
  <si>
    <t>Need minimum 15 closed deals to generate reliable averages</t>
  </si>
  <si>
    <t>EBL-0055</t>
  </si>
  <si>
    <t>Time-to-Close: Buyer Type vs Speed — Internal</t>
  </si>
  <si>
    <t>ka_pattern_V4G_Time_to_Close_BuyerType_Benelux_2026_v1</t>
  </si>
  <si>
    <t>PE-backed; Corporate Buyer; Search Fund</t>
  </si>
  <si>
    <t>Deal Execution; Buyer Psychology; Pattern Detection</t>
  </si>
  <si>
    <t>Dataset tracking time-to-close by buyer type: PE sponsor, corporate, family office, search fund.</t>
  </si>
  <si>
    <t>Reveals buyer speed patterns — essential for competitive process design.</t>
  </si>
  <si>
    <t>Buyer speed profiling, process optimization, competitive dynamics.</t>
  </si>
  <si>
    <t>Very high — directly impacts process strategy and seller advice.</t>
  </si>
  <si>
    <t>Need segment by deal size band</t>
  </si>
  <si>
    <t>EBL-0056</t>
  </si>
  <si>
    <t>Clause Friction Register — Internal</t>
  </si>
  <si>
    <t>ka_failure_pattern_V4G_Clause_Friction_Benelux_2026_v1</t>
  </si>
  <si>
    <t>Negotiation; Deal Execution; Failure Analysis</t>
  </si>
  <si>
    <t>Register of SPA/LOI clauses that consistently cause friction, delay, or deal collapse.</t>
  </si>
  <si>
    <t>Maps where legal/commercial friction kills momentum — enables proactive clause management.</t>
  </si>
  <si>
    <t>Clause taxonomy, friction frequency, resolution patterns.</t>
  </si>
  <si>
    <t>Very high — directly prevents delays and builds legal process credibility.</t>
  </si>
  <si>
    <t>Need clause-level taxonomy with frequency counts</t>
  </si>
  <si>
    <t>EBL-0057</t>
  </si>
  <si>
    <t>Delay Source Mapping — Internal</t>
  </si>
  <si>
    <t>ka_failure_pattern_V4G_Delay_Source_Mapping_Benelux_2026_v1</t>
  </si>
  <si>
    <t>Deal Execution; Failure Analysis; Pattern Detection</t>
  </si>
  <si>
    <t>Failure Pattern; Pattern</t>
  </si>
  <si>
    <t>Maps where delays originate in deal processes: legal, financial DD, management transition, regulatory.</t>
  </si>
  <si>
    <t>Identifies systemic delay sources to build faster, more predictable processes.</t>
  </si>
  <si>
    <t>Delay taxonomy, root cause analysis, process acceleration playbooks.</t>
  </si>
  <si>
    <t>High — reduces process uncertainty and improves founder/buyer experience.</t>
  </si>
  <si>
    <t>Need map delays to responsible party (seller/buyer/advisor/legal)</t>
  </si>
  <si>
    <t>EBL-0058</t>
  </si>
  <si>
    <t>Signal → Deal: Hiring Patterns — Internal</t>
  </si>
  <si>
    <t>ka_signal_digest_V4G_Hiring_Signal_Benelux_2026_v1</t>
  </si>
  <si>
    <t>Signal Detection; Private Equity; Sector Consolidation</t>
  </si>
  <si>
    <t>Signal Digest; Pattern</t>
  </si>
  <si>
    <t>Tracks corporate hiring surges as leading indicator for acquisition intent.</t>
  </si>
  <si>
    <t>Feeds convergence alert system — hiring → acquisition correlation.</t>
  </si>
  <si>
    <t>Signal taxonomy, correlation scoring, sector patterns.</t>
  </si>
  <si>
    <t>Very high — early deal intelligence for origination.</t>
  </si>
  <si>
    <t>Need validate correlation with minimum 10 confirmed cases</t>
  </si>
  <si>
    <t>EBL-0059</t>
  </si>
  <si>
    <t>Signal → Deal: CFO/Leadership Change — Internal</t>
  </si>
  <si>
    <t>ka_signal_digest_V4G_CFO_Change_Signal_Benelux_2026_v1</t>
  </si>
  <si>
    <t>Signal Detection; Succession; Deal Execution</t>
  </si>
  <si>
    <t>Tracks CFO and key leadership changes as sell-side trigger signal.</t>
  </si>
  <si>
    <t>CFO change → sale correlation — feeds convergence alert and outreach timing.</t>
  </si>
  <si>
    <t>Leadership change taxonomy, signal validation, outreach timing.</t>
  </si>
  <si>
    <t>Very high — early origination intelligence.</t>
  </si>
  <si>
    <t>Need build LinkedIn monitoring protocol</t>
  </si>
  <si>
    <t>EBL-0060</t>
  </si>
  <si>
    <t>Convergence Alert Framework — Internal</t>
  </si>
  <si>
    <t>ka_framework_V4G_Convergence_Alert_Benelux_2026_v1</t>
  </si>
  <si>
    <t>Signal Detection; Pattern Detection; Deal Execution</t>
  </si>
  <si>
    <t>Internal Standard; Pattern</t>
  </si>
  <si>
    <t>Framework for combining multiple weak signals into convergence alerts (hiring + CFO change + sector pressure = likely deal).</t>
  </si>
  <si>
    <t>The intelligence layer that turns individual signals into actionable deal hypotheses.</t>
  </si>
  <si>
    <t>Signal convergence rules, alert thresholds, scoring methodology.</t>
  </si>
  <si>
    <t>Extremely high — this IS the Grapevine intelligence engine.</t>
  </si>
  <si>
    <t>Need define minimum 3 signal convergence rules</t>
  </si>
  <si>
    <t>EBL-0061</t>
  </si>
  <si>
    <t>Behavioral Economics Framework (Kahneman)</t>
  </si>
  <si>
    <t>ka_framework_Kahneman_Behavioral_Economics_Global_2011_v1</t>
  </si>
  <si>
    <t>Daniel Kahneman</t>
  </si>
  <si>
    <t>Buyer Psychology; Founder Psychology; Negotiation</t>
  </si>
  <si>
    <t>Knowledge Card; Pattern</t>
  </si>
  <si>
    <t>Prospect theory, anchoring bias, loss aversion — core behavioral economics applied to deal psychology.</t>
  </si>
  <si>
    <t>Scientific backbone for buyer/founder behavior patterns — transforms observations into theory-backed intelligence.</t>
  </si>
  <si>
    <t>Anchoring in pricing, loss aversion in sellers, framing effects on deal structure.</t>
  </si>
  <si>
    <t>High — elevates negotiation advice from opinion to evidence-based.</t>
  </si>
  <si>
    <t>Need extract 5 key biases mapped to deal phases</t>
  </si>
  <si>
    <t>EBL-0062</t>
  </si>
  <si>
    <t>V4G Casenotes → Pattern Conversion Register</t>
  </si>
  <si>
    <t>ka_internal_standard_V4G_Casenotes_Conversion_Benelux_2026_v1</t>
  </si>
  <si>
    <t>Pattern Detection; Deal Execution; Failure Analysis</t>
  </si>
  <si>
    <t>Systematic conversion register: transforms raw V4G deal casenotes into ka_pattern, ka_failure_pattern, ka_negotiation_pattern.</t>
  </si>
  <si>
    <t>THIS is your defensible moat. Converts experience into reusable, codified intelligence.</t>
  </si>
  <si>
    <t>Pattern extraction workflow, conversion criteria, quality gates.</t>
  </si>
  <si>
    <t>Extremely high — the engine that creates proprietary IP from every deal.</t>
  </si>
  <si>
    <t>Need define conversion workflow + quality criteria</t>
  </si>
  <si>
    <t>EBL-0063</t>
  </si>
  <si>
    <t>Sponsor-to-Sponsor Transaction Patterns — Internal</t>
  </si>
  <si>
    <t>ka_pattern_V4G_Sponsor_to_Sponsor_Europe_2026_v1</t>
  </si>
  <si>
    <t>Private Equity; Deal Execution; Pattern Detection</t>
  </si>
  <si>
    <t>Internal analysis of secondary buyout patterns: sponsor-to-sponsor dynamics, pricing, and process differences.</t>
  </si>
  <si>
    <t>Important for understanding PE recycling and competitive buyer positioning.</t>
  </si>
  <si>
    <t>Secondary buyout patterns, pricing dynamics, hold period implications.</t>
  </si>
  <si>
    <t>High — feeds investor conversations and sell-side process design.</t>
  </si>
  <si>
    <t>Need track by fund size and vintage</t>
  </si>
  <si>
    <t>EBL-0064</t>
  </si>
  <si>
    <t>Hold Period by Fund Type Analysis — Internal</t>
  </si>
  <si>
    <t>ka_pattern_V4G_Hold_Period_FundType_Europe_2026_v1</t>
  </si>
  <si>
    <t>Private Equity; Pattern Detection; Deal Execution</t>
  </si>
  <si>
    <t>Analysis of hold periods segmented by fund type: buyout, growth, family office, search fund.</t>
  </si>
  <si>
    <t>Reveals exit pressure timelines per investor type — essential for process timing.</t>
  </si>
  <si>
    <t>Hold period benchmarks, exit pressure curves, fund lifecycle mapping.</t>
  </si>
  <si>
    <t>High — informs seller advice on buyer commitment and exit timing.</t>
  </si>
  <si>
    <t>Need integrate with exit timing patterns (EBL-0039)</t>
  </si>
  <si>
    <t>EBL-0065</t>
  </si>
  <si>
    <t>Price vs Certainty Trade-Off Analysis — Internal</t>
  </si>
  <si>
    <t>ka_pattern_V4G_Price_vs_Certainty_Benelux_2026_v1</t>
  </si>
  <si>
    <t>Negotiation; Founder Psychology; Valuation</t>
  </si>
  <si>
    <t>Internal analysis: founders increasingly choose certainty over maximum price — patterns and triggers.</t>
  </si>
  <si>
    <t>One of the strongest editorial and commercial insights — directly usable in conversations.</t>
  </si>
  <si>
    <t>Price-certainty trade-off curves, trigger identification, founder psychology.</t>
  </si>
  <si>
    <t>Extremely high — core narrative for founder engagement.</t>
  </si>
  <si>
    <t>Need map to Kahneman prospect theory (EBL-0061)</t>
  </si>
  <si>
    <t>EBL-0066</t>
  </si>
  <si>
    <t>DD Intelligence Memo — Internal</t>
  </si>
  <si>
    <t>ka_internal_standard_V4G_DD_Intelligence_Benelux_2026_v1</t>
  </si>
  <si>
    <t>Due Diligence; Deal Execution; Failure Analysis</t>
  </si>
  <si>
    <t>Cumulative DD learnings: what buyers always ask, what sellers never prepare, common DD surprises.</t>
  </si>
  <si>
    <t>Turns DD pain into process acceleration — prepares sellers, impresses buyers.</t>
  </si>
  <si>
    <t>DD readiness checklist evolution, common gaps, buyer expectations.</t>
  </si>
  <si>
    <t>Very high — directly improves mandate execution speed and quality.</t>
  </si>
  <si>
    <t>Need integrate with DD Friction Checklist (EBL-0027)</t>
  </si>
  <si>
    <t>EBL-0067</t>
  </si>
  <si>
    <t>Kahneman Applied: Deal Bias Playbook — Internal</t>
  </si>
  <si>
    <t>ka_pattern_V4G_Kahneman_Applied_Benelux_2026_v1</t>
  </si>
  <si>
    <t>Founder-led; Family-owned; PE-backed; Corporate Buyer</t>
  </si>
  <si>
    <t>Pattern; Internal Standard; Editorial Angle</t>
  </si>
  <si>
    <t>Applied playbook mapping Kahneman biases to specific deal phases: anchoring in pricing, loss aversion in sellers, framing in offers.</t>
  </si>
  <si>
    <t>Bridges academic theory to practical deal execution — your observations + science.</t>
  </si>
  <si>
    <t>Bias-per-phase mapping, intervention strategies, conversation scripts.</t>
  </si>
  <si>
    <t>Very high — elevates every negotiation conversation.</t>
  </si>
  <si>
    <t>Need link to Kahneman framework (EBL-0061) + V4G casenotes</t>
  </si>
  <si>
    <t>global; behavioral-economics; psychology</t>
  </si>
  <si>
    <t>Prospect theory, anchoring, loss aversion — behavioral science applied to deal psychology</t>
  </si>
  <si>
    <t>V4G Case Archive</t>
  </si>
  <si>
    <t>internal; proprietary; deal-execution</t>
  </si>
  <si>
    <t>Internal deal case archive — raw material for pattern, failure, and signal extraction</t>
  </si>
  <si>
    <t>Deal Failure at DD Phase</t>
  </si>
  <si>
    <t>Disproportionate number of deal failures occur during DD phase — driven by preparation gaps and information asymmetry.</t>
  </si>
  <si>
    <t>Extended DD timelines; repeated information requests; advisor frustration signals; buyer re-pricing.</t>
  </si>
  <si>
    <t>Process can be saved by pre-DD readiness investment and managed expectation setting.</t>
  </si>
  <si>
    <t>High relevance for both sell-side preparation and buyer process evaluation.</t>
  </si>
  <si>
    <t>EBL-0051; EBL-0053; EBL-0027</t>
  </si>
  <si>
    <t>Buyer Withdrawal After LOI</t>
  </si>
  <si>
    <t>Buyers withdraw post-LOI more often than expected — triggered by DD surprises, market shifts, or internal priority changes.</t>
  </si>
  <si>
    <t>Slower communication; narrowing DD scope; increased legal friction; delayed management meetings.</t>
  </si>
  <si>
    <t>Need backup buyer strategy and faster LOI-to-close execution.</t>
  </si>
  <si>
    <t>Critical for managing seller expectations and process risk.</t>
  </si>
  <si>
    <t>EBL-0051; EBL-0052; EBL-0056</t>
  </si>
  <si>
    <t>Clause Friction on Earn-Out Terms</t>
  </si>
  <si>
    <t>Earn-out clause definitions consistently cause friction — measurement periods, targets, and control rights are the top 3 blockers.</t>
  </si>
  <si>
    <t>Extended SPA negotiation; earn-out clause redlines exceeding 3 rounds; founder frustration spikes.</t>
  </si>
  <si>
    <t>Pre-agreed earn-out frameworks dramatically reduce closing friction.</t>
  </si>
  <si>
    <t>Very high for founders with significant earn-out components.</t>
  </si>
  <si>
    <t>EBL-0019; EBL-0056; EBL-0050</t>
  </si>
  <si>
    <t>Anchoring Bias in First Offers</t>
  </si>
  <si>
    <t>First price indication anchors the entire negotiation — founders who set high initial expectations struggle to accept realistic market pricing.</t>
  </si>
  <si>
    <t>Founder references to 'comparable' transactions; repeated upward price revisions; delayed market testing.</t>
  </si>
  <si>
    <t>Professional valuation framing at mandate stage prevents anchoring damage.</t>
  </si>
  <si>
    <t>Universal — affects every sell-side engagement.</t>
  </si>
  <si>
    <t>EBL-0061; EBL-0067; EBL-0049</t>
  </si>
  <si>
    <t>Hiring Surge as Acquisition Signal</t>
  </si>
  <si>
    <t>Companies hiring aggressively in specific functions (corp dev, integration) often precede acquisitions within 6-12 months.</t>
  </si>
  <si>
    <t>LinkedIn job postings in M&amp;A/integration roles; new corp dev hires; BD team expansion.</t>
  </si>
  <si>
    <t>Early buyer identification for competitive sell-side processes.</t>
  </si>
  <si>
    <t>High for proactive buyer mapping and origination.</t>
  </si>
  <si>
    <t>EBL-0058; EBL-0060</t>
  </si>
  <si>
    <t>CFO Change as Sale Trigger</t>
  </si>
  <si>
    <t>CFO departures or appointments in founder-led companies often precede sale processes within 12-18 months.</t>
  </si>
  <si>
    <t>CFO resignation; external CFO appointment; increased accountant/advisor engagement.</t>
  </si>
  <si>
    <t>Timing signal for outreach — founder is likely preparing for transaction.</t>
  </si>
  <si>
    <t>Very high for sell-side origination targeting.</t>
  </si>
  <si>
    <t>EBL-0059; EBL-0060</t>
  </si>
  <si>
    <t>Working Capital Shock at Closing</t>
  </si>
  <si>
    <t>Working capital adjustment mechanisms consistently surprise sellers at closing — creates trust damage and delays.</t>
  </si>
  <si>
    <t>Closing balance disputes; locked box vs completion accounts friction; seller shock at final price.</t>
  </si>
  <si>
    <t>Early education on WC mechanisms prevents closing-stage explosions.</t>
  </si>
  <si>
    <t>Critical for founder-led sell-side mandates.</t>
  </si>
  <si>
    <t>EBL-0021; EBL-0056; EBL-0057</t>
  </si>
  <si>
    <t>Deal Failures Are Predictable — And Preventable</t>
  </si>
  <si>
    <t>Most deal failures follow identifiable patterns that can be detected early and mitigated through systematic process management.</t>
  </si>
  <si>
    <t>Builds Grapevine’s core editorial IP: nobody else publishes failure intelligence. Creates defensible thought leadership.</t>
  </si>
  <si>
    <t>Combine failure case register, phase failure analysis, and DD friction data.</t>
  </si>
  <si>
    <t>Small sample size initially; some failures are genuinely unpredictable.</t>
  </si>
  <si>
    <t>Deal Failure at DD Phase; Buyer Withdrawal After LOI; Working Capital Shock at Closing</t>
  </si>
  <si>
    <t>EBL-0051; EBL-0052; EBL-0053; EBL-0027</t>
  </si>
  <si>
    <t>founders; advisors; PE buyers</t>
  </si>
  <si>
    <t>Signal Convergence Predicts Deal Activity</t>
  </si>
  <si>
    <t>Multiple weak signals (hiring patterns, leadership changes, sector pressure) converging on a single target predict deal activity 6-18 months ahead.</t>
  </si>
  <si>
    <t>Enables proactive origination instead of reactive deal-chasing. Transforms Grapevine from newsletter to intelligence platform.</t>
  </si>
  <si>
    <t>Map hiring signals, CFO changes, and sector dynamics to confirmed deal outcomes.</t>
  </si>
  <si>
    <t>Correlation ≠ causation; signals may produce false positives; small dataset risk.</t>
  </si>
  <si>
    <t>Hiring Surge as Acquisition Signal; CFO Change as Sale Trigger</t>
  </si>
  <si>
    <t>EBL-0058; EBL-0059; EBL-0060</t>
  </si>
  <si>
    <t>PE buyers; corporate development; advisors</t>
  </si>
  <si>
    <t>Behavioral Biases Are the Hidden Deal Variable</t>
  </si>
  <si>
    <t>Cognitive biases (anchoring, loss aversion, framing) systematically distort founder and buyer decisions at predictable deal phases.</t>
  </si>
  <si>
    <t>Elevates M&amp;A advice from commercial intuition to behavioral science. Unique editorial angle for Dealflow.news.</t>
  </si>
  <si>
    <t>Map Kahneman framework to V4G deal observations and casenotes.</t>
  </si>
  <si>
    <t>Academic theory may oversimplify deal-specific emotional dynamics.</t>
  </si>
  <si>
    <t>Anchoring Bias in First Offers; Founder Hesitation Before LOI</t>
  </si>
  <si>
    <t>EBL-0061; EBL-0067; EBL-0049; EBL-0065</t>
  </si>
  <si>
    <t>founders; advisors; editorial audience</t>
  </si>
  <si>
    <t>TOTAL</t>
  </si>
  <si>
    <t>%</t>
  </si>
  <si>
    <t>Commodity</t>
  </si>
  <si>
    <t>Contextual</t>
  </si>
  <si>
    <t>Proprietary</t>
  </si>
  <si>
    <t>📊 SUMMARY</t>
  </si>
  <si>
    <t>EBL-0046; EBL-0049; EBL-0065</t>
  </si>
  <si>
    <t>Start Here, Library_Master (incl. Asset Class), Source_Register, Pattern_Register, Thesis_Register, Update_Timetable, Controlled_Values</t>
  </si>
  <si>
    <t>Proprietary %</t>
  </si>
  <si>
    <t>Patterns registered</t>
  </si>
  <si>
    <t>Theses registered</t>
  </si>
  <si>
    <t>Items due for review</t>
  </si>
  <si>
    <t>Asset Classification</t>
  </si>
  <si>
    <t>Everyone has it. Bain, McKinsey, IMF. Provides credibility but zero differentiation.</t>
  </si>
  <si>
    <t>You reframe it with your own lens. Sector overlays, Benelux angle, V4G interpretation. Creates conversation edge.</t>
  </si>
  <si>
    <t>Only you have it. Internal memos, failure patterns, deal signals, casenotes. This is your moat.</t>
  </si>
  <si>
    <t>Naming Convention</t>
  </si>
  <si>
    <t>File name format</t>
  </si>
  <si>
    <t>ka_[type]_[Source]_[Topic]_[Geography]_[Year]_v[version]</t>
  </si>
  <si>
    <t>Example</t>
  </si>
  <si>
    <t>ID format</t>
  </si>
  <si>
    <t>EBL-0001 through EBL-9999 (sequential, never reused)</t>
  </si>
  <si>
    <t>KA Types Reference</t>
  </si>
  <si>
    <t>External market reports &amp; indices (quarterly/annual)</t>
  </si>
  <si>
    <t>Sector heatmaps &amp; consolidation views (quarterly)</t>
  </si>
  <si>
    <t>Canonical reference frameworks (annual)</t>
  </si>
  <si>
    <t>Recurring behavioral/execution patterns (monthly)</t>
  </si>
  <si>
    <t>Deal failure analysis &amp; prevention (monthly)</t>
  </si>
  <si>
    <t>Investment/editorial theses (quarterly)</t>
  </si>
  <si>
    <t>Publishable content angles (weekly)</t>
  </si>
  <si>
    <t>Weak signal tracking &amp; alerts (weekly)</t>
  </si>
  <si>
    <t>House views &amp; internal norms (quarterly)</t>
  </si>
  <si>
    <t>Macro/reference library sources (annual)</t>
  </si>
  <si>
    <t>Card ID</t>
  </si>
  <si>
    <t>Source EBL</t>
  </si>
  <si>
    <t>Card Title</t>
  </si>
  <si>
    <t>Card Type</t>
  </si>
  <si>
    <t>Category</t>
  </si>
  <si>
    <t>Key Insight</t>
  </si>
  <si>
    <t>Data Points</t>
  </si>
  <si>
    <t>So What? (Implication)</t>
  </si>
  <si>
    <t>Use In Conversation</t>
  </si>
  <si>
    <t>Freshness</t>
  </si>
  <si>
    <t>Card Status</t>
  </si>
  <si>
    <t>Created</t>
  </si>
  <si>
    <t>KC-001</t>
  </si>
  <si>
    <t>Mid-Market Pricing Reality Check</t>
  </si>
  <si>
    <t>benchmark_extract</t>
  </si>
  <si>
    <t>Benelux mid-market EV/EBITDA multiples are compressing — sellers anchored at 2021-22 peaks face 15-25% expectation gaps vs current market clearing prices.</t>
  </si>
  <si>
    <t>Median EV/EBITDA 6.0-7.5x (down from 8-9x peak); Healthcare/Tech premium 1.5-2x over industrials; &lt;€10M EBITDA discount ~20% vs €10-50M; earn-out prevalence rising to ~40% of deals.</t>
  </si>
  <si>
    <t>Founders who waited 'for the right moment' since 2022 are now selling into a lower-multiple environment. The earn-out bridge is becoming standard, not exceptional.</t>
  </si>
  <si>
    <t>When a founder says 'my peer sold for 9x two years ago' — this card provides the market reality with specific data to recalibrate expectations without confrontation.</t>
  </si>
  <si>
    <t>Anchoring Bias in First Offers; Working Capital Shock at Closing</t>
  </si>
  <si>
    <t>current</t>
  </si>
  <si>
    <t>KC-002</t>
  </si>
  <si>
    <t>Global PE: The Benelux Translation</t>
  </si>
  <si>
    <t>Global PE dry powder at record levels (~$2.5T) but deployment is slowing. For Benelux: PE buyers are pickier, processes longer, but willing to pay premium for 'deal certainty' sellers.</t>
  </si>
  <si>
    <t>Global PE AUM ~$8T; dry powder ~$2.5T; avg holding period extended to 5.5yr; exit volume down ~25% YoY; add-on share &gt;50% of all PE deals; Benelux deal count stable but avg size declining.</t>
  </si>
  <si>
    <t>PE has the money but not the conviction. Sellers who present a 'zero-surprise' DD package and realistic pricing close faster and at better terms than those chasing top-of-range multiples.</t>
  </si>
  <si>
    <t>When a PE buyer says 'the market is tough' — counter with: dry powder is at record levels, the issue isn't capital availability but deployment confidence. Frame your client as the low-risk deployment.</t>
  </si>
  <si>
    <t>Buyer Withdrawal After LOI; Deal Failure at DD Phase</t>
  </si>
  <si>
    <t>KC-003</t>
  </si>
  <si>
    <t>House Valuation Anchors</t>
  </si>
  <si>
    <t>internal_standard</t>
  </si>
  <si>
    <t>Five Damodaran reference points every V4G partner should know by heart — the numbers that frame any valuation conversation before a model is even opened.</t>
  </si>
  <si>
    <t>European equity risk premium: ~5.5%; small firm premium (SME): +2-3%; country risk premium Belgium: ~0.5%; unlevered beta range (services/manufacturing): 0.6-1.0; implied cost of equity for typical Benelux SME: 12-15%.</t>
  </si>
  <si>
    <t>When founders quote '8x EBITDA' from a newspaper headline, these numbers translate that into what a buyer's DCF actually says. The gap between headline multiples and risk-adjusted returns is where negotiation happens.</t>
  </si>
  <si>
    <t>Never argue multiples — argue cost of equity. 'At your asking price, a buyer's implied return is 7%. Their fund targets 20%. Let me show you why 6.5x is actually a strong offer.'</t>
  </si>
  <si>
    <t>Anchoring Bias in First Offers; Price vs Certainty Trade-Off</t>
  </si>
  <si>
    <t>KC-004</t>
  </si>
  <si>
    <t>Founder Hesitation Playbook</t>
  </si>
  <si>
    <t>pattern_card</t>
  </si>
  <si>
    <t>Founders hesitate at 3 predictable phases: pre-mandate (identity crisis), post-LOI (seller's remorse), pre-closing (last-minute doubt). Each phase requires a different intervention.</t>
  </si>
  <si>
    <t>Phase 1 triggers: legacy anxiety, 'not the right time' loop, advisor shopping; Phase 2 triggers: price re-anchoring, employee guilt, family pressure; Phase 3 triggers: tax shock, earn-out fear, loss of control panic.</t>
  </si>
  <si>
    <t>Most deal failures attributed to 'cold feet' are actually predictable phase-specific reactions. Knowing which phase the founder is in determines whether you reassure, reframe, or accelerate.</t>
  </si>
  <si>
    <t>When a founder goes silent post-LOI: don't chase with deal updates. Instead, address the underlying emotion: 'Many founders feel this way at this stage. It's not doubt about the deal — it's grief about the transition.'</t>
  </si>
  <si>
    <t>Founder Hesitation Before LOI; Anchoring Bias in First Offers; Buyer Withdrawal After LOI</t>
  </si>
  <si>
    <t>Behavioral Biases Are the Hidden Deal Variable; Deal Failures Are Predictable — And Preventable</t>
  </si>
  <si>
    <t>evergreen</t>
  </si>
  <si>
    <t>KC-005</t>
  </si>
  <si>
    <t>Buyer Conviction Signals</t>
  </si>
  <si>
    <t>Buyer seriousness can be read from 4 signals within the first 2 weeks: response speed, question quality, internal team deployment, and reference to integration planning.</t>
  </si>
  <si>
    <t>Signal 1: &lt;48hr response = serious, &gt;5 days = tourist; Signal 2: operational questions &gt; financial questions = real buyer; Signal 3: CFO/COO involvement early = conviction; Signal 4: mentions of integration timeline = closing intent.</t>
  </si>
  <si>
    <t>Stop wasting time on 'interested' buyers who are actually benchmarking. These 4 signals let you rank buyer conviction in week 2 instead of week 12.</t>
  </si>
  <si>
    <t>When presenting a buyer shortlist to a founder: 'Based on early signals, Buyer A and C show real conviction — here's specifically why. Buyer B is likely benchmarking. I recommend focusing our management presentations on A and C.'</t>
  </si>
  <si>
    <t>Buyer Withdrawal After LOI; Hiring Surge as Acquisition Signal</t>
  </si>
  <si>
    <t>KC-006</t>
  </si>
  <si>
    <t>Vendor Loan Intelligence</t>
  </si>
  <si>
    <t>Vendor loans are the hidden bridge between seller expectations and buyer affordability — used in ~30% of mid-market deals, but poorly understood by most founders.</t>
  </si>
  <si>
    <t>Typical range: 10-25% of EV; duration: 3-5 years; interest: 3-5% above base; subordination: always behind senior debt; key negotiation: security vs unsecured; market trend: increasing as bank leverage tightens.</t>
  </si>
  <si>
    <t>Founders who understand vendor loans before negotiations start accept them as a strategic tool rather than a sign of buyer weakness. This shifts the conversation from 'he can't afford it' to 'this protects my upside.'</t>
  </si>
  <si>
    <t>When structuring a deal with a gap: 'A vendor loan of 15% isn't the buyer saying they can't pay — it's you retaining skin in the game during the transition. At 4% interest, it's better than most fixed-income investments.'</t>
  </si>
  <si>
    <t>Working Capital Shock at Closing; Clause Friction on Earn-Out Terms</t>
  </si>
  <si>
    <t>KC-007</t>
  </si>
  <si>
    <t>Platform vs Add-On Decision Tree</t>
  </si>
  <si>
    <t>PE buyers evaluate targets through two lenses — platform (standalone leadership) or add-on (bolt-on to existing portfolio). The lens determines valuation, process speed, and negotiation dynamics.</t>
  </si>
  <si>
    <t>Platform criteria: &gt;€5M EBITDA, management depth, market position, standalone scalability; Add-on criteria: strategic fit &gt; financials, faster process, lower multiples (0.5-1.5x discount), integration synergies valued; Hybrid: increasingly common in Benelux.</t>
  </si>
  <si>
    <t>Positioning a client as 'platform-worthy' vs accepting add-on classification changes the expected multiple by 1-2x EBITDA. This is often a €2-5M difference on a mid-market deal.</t>
  </si>
  <si>
    <t>When a PE buyer offers add-on multiples for a platform-quality business: 'This company has 3 of the 4 platform characteristics your fund typically targets. The add-on discount doesn't reflect the standalone management depth and market position.'</t>
  </si>
  <si>
    <t>Sponsor-to-Sponsor Transaction Patterns; Hold Period by Fund Type</t>
  </si>
  <si>
    <t>KC-008</t>
  </si>
  <si>
    <t>Private vs Public Pricing Gap</t>
  </si>
  <si>
    <t>Private market multiples lag public markets by 6-12 months. Current Lincoln data shows private multiples still adjusting while public markets have partially recovered — creating a temporary arbitrage window.</t>
  </si>
  <si>
    <t>Lincoln PMI private multiples: ~7.5x mid-market (Q1 2026); public comparables trading at 9-11x; lag typically closes within 2-3 quarters; sector dispersion widening: tech/healthcare 9-10x private vs industrials 5.5-6.5x.</t>
  </si>
  <si>
    <t>For sellers: 'wait for recovery' may mean 6+ more months. For PE buyers: current private pricing represents a value window before public-to-private convergence. The smart money is deploying now, not waiting.</t>
  </si>
  <si>
    <t>When a buyer argues multiples are too high: 'Lincoln data shows private multiples are still 20-25% below public comparables. This isn't expensive — this is the lag closing. In 2-3 quarters, you'll wish you'd moved faster.'</t>
  </si>
  <si>
    <t>KC-009</t>
  </si>
  <si>
    <t>Belux M&amp;A Landscape Card</t>
  </si>
  <si>
    <t>Belux M&amp;A market is structurally different from NL/DACH: smaller deal sizes, higher succession-driven share, stronger family attachment, and fewer professional intermediaries.</t>
  </si>
  <si>
    <t>Annual deal count Belgium: ~350-400 (vs NL: ~600-700); succession-driven: ~55% of Belgian deals vs ~35% in NL; avg deal size €5-15M; PE share growing but still &lt;40% of deals; Wallonia significantly underserved.</t>
  </si>
  <si>
    <t>The Belgian market rewards patience and trust over process efficiency. Founders here choose advisors they like over advisors who promise the highest price. Relationship-first positioning wins.</t>
  </si>
  <si>
    <t>When pitching a Belgian founder: 'The Vlerick data shows that 55% of Belgian transactions are succession-driven. Your situation is typical, not exceptional. Here's what successful transitions look like in your sector.'</t>
  </si>
  <si>
    <t>Founder Hesitation Before LOI; CFO Change as Sale Trigger</t>
  </si>
  <si>
    <t>KC-010</t>
  </si>
  <si>
    <t>Why Deals Die — The Top 5</t>
  </si>
  <si>
    <t>failure_card</t>
  </si>
  <si>
    <t>80% of mid-market deal failures trace back to 5 root causes. Most are preventable if identified before LOI stage. The single biggest killer isn't price disagreement — it's information asymmetry during DD.</t>
  </si>
  <si>
    <t>#1: DD surprises (35% of failures) — undisclosed risks surface; #2: Founder cold feet (25%) — hesitation post-LOI; #3: Price re-trading (20%) — buyer adjusts after DD; #4: Financing collapse (12%) — bank/fund pullback; #5: Regulatory/structural (8%).</t>
  </si>
  <si>
    <t>Deal failure is not random. Pre-DD readiness investment and founder expectation management at mandate stage eliminate the top 2 causes (60% of all failures). This is the highest-ROI activity in M&amp;A advisory.</t>
  </si>
  <si>
    <t>When onboarding a new mandate: 'Based on our deal failure analysis, the #1 risk isn't finding a buyer — it's DD surprises. Let me walk you through our pre-DD readiness checklist. 30 minutes now saves 6 months later.'</t>
  </si>
  <si>
    <t>Deal Failure at DD Phase; Buyer Withdrawal After LOI; Working Capital Shock at Closing; Founder Hesitation Before LOI</t>
  </si>
  <si>
    <t>thesis_card</t>
  </si>
  <si>
    <t>signal_card</t>
  </si>
  <si>
    <t>draft</t>
  </si>
  <si>
    <t>superseded</t>
  </si>
  <si>
    <t>Knowledge Cards</t>
  </si>
  <si>
    <t>How It All Fits Together</t>
  </si>
  <si>
    <t>The Intelligence Pipeline</t>
  </si>
  <si>
    <t>This system converts raw documents into deal intelligence through 5 stages:</t>
  </si>
  <si>
    <t>Stage 1 — Docs</t>
  </si>
  <si>
    <t>Library_Master holds every document: reports, memos, datasets, checklists. Each tagged with metadata (source, sector, geography, freshness). This is inventory, not intelligence.</t>
  </si>
  <si>
    <t>Stage 2 — Cards</t>
  </si>
  <si>
    <t>Knowledge_Cards distills each doc into a usable insight: Key Insight → Data Points → So What? → Use In Conversation. A card is what you carry into a meeting — not the report, but the 4 things from it that matter.</t>
  </si>
  <si>
    <t>Stage 3 — Patterns</t>
  </si>
  <si>
    <t>Pattern_Register captures recurring behaviors across deals: founders hesitating, buyers withdrawing, friction points. Patterns emerge from multiple cards and observations. They are your predictive edge.</t>
  </si>
  <si>
    <t>Stage 4 — Theses</t>
  </si>
  <si>
    <t>Thesis_Register holds testable claims built on patterns and data: 'deal failures are predictable', 'signal convergence predicts activity'. Theses drive editorial content and advisory positioning.</t>
  </si>
  <si>
    <t>Stage 5 — Deals</t>
  </si>
  <si>
    <t>The end state: intelligence deployed in real conversations, pitches, and publications. A card used in a founder meeting. A pattern cited in a Dealflow.news article. A thesis tested against a live process.</t>
  </si>
  <si>
    <t>The 8 Sheets — What Lives Where</t>
  </si>
  <si>
    <t>Sheet</t>
  </si>
  <si>
    <t>🏠 Start Here</t>
  </si>
  <si>
    <t>This page. System documentation, KPIs, reference tables. Your landing page.</t>
  </si>
  <si>
    <t>📚 Library_Master</t>
  </si>
  <si>
    <t>All 67 documents with 49 metadata fields. The inventory. Filter by category, priority, asset class, owner. Stage 1.</t>
  </si>
  <si>
    <t>🃏 Knowledge_Cards</t>
  </si>
  <si>
    <t>Distilled intelligence from docs. Each card has 4 layers: Key Insight → Data Points → So What → Use In Conversation. Stage 2.</t>
  </si>
  <si>
    <t>📖 Source_Register</t>
  </si>
  <si>
    <t>25 verified sources with reliability, access type, and coverage. Check here before adding a new source to the library.</t>
  </si>
  <si>
    <t>📋 Pattern_Register</t>
  </si>
  <si>
    <t>8 recurring deal patterns (failure, behavioral, execution, strategic). Linked to evidence and theses. Your predictive edge. Stage 3.</t>
  </si>
  <si>
    <t>💡 Thesis_Register</t>
  </si>
  <si>
    <t>4 testable claims built on pattern evidence. Drive editorial content and advisory positioning. Stage 4.</t>
  </si>
  <si>
    <t>⏱️ Update_Timetable</t>
  </si>
  <si>
    <t>10 ka_types with review cadence (weekly → annual), ownership, and trigger rules. The governance engine.</t>
  </si>
  <si>
    <t>🏛️ Controlled_Values</t>
  </si>
  <si>
    <t>24 dropdown lists that enforce consistent tagging across all sheets. The data quality backbone.</t>
  </si>
  <si>
    <t>How Things Connect</t>
  </si>
  <si>
    <t>Every item links to others. Here's how to read the connections:</t>
  </si>
  <si>
    <t>Connection</t>
  </si>
  <si>
    <t>How it works</t>
  </si>
  <si>
    <t>Doc → Card</t>
  </si>
  <si>
    <t>Knowledge_Cards.Source EBL links back to Library_Master.Short ID. One doc can produce multiple cards. When converted, the doc's Editorial Status changes to 'converted'.</t>
  </si>
  <si>
    <t>Card → Pattern</t>
  </si>
  <si>
    <t>Knowledge_Cards.Linked Patterns references Pattern_Register entries. Multiple cards can support the same pattern. Patterns strengthen as more cards confirm them.</t>
  </si>
  <si>
    <t>Pattern → Thesis</t>
  </si>
  <si>
    <t>Pattern_Register entries feed into Thesis_Register claims. A thesis is 'testable' when it has 2+ supporting patterns. It becomes 'validated' when confirmed by live deal data.</t>
  </si>
  <si>
    <t>Doc → Source</t>
  </si>
  <si>
    <t>Library_Master.Source must exist in Source_Register. Always check Source_Register before creating a new library entry. This prevents source proliferation.</t>
  </si>
  <si>
    <t>Everything → Timetable</t>
  </si>
  <si>
    <t>Every item's KA Type determines its review cadence via Update_Timetable. When Next Review Date passes, Review Due flags it. Weekly governance: check flagged items first.</t>
  </si>
  <si>
    <t>Your Weekly Workflow</t>
  </si>
  <si>
    <t>Day</t>
  </si>
  <si>
    <t>Action</t>
  </si>
  <si>
    <t>Monday</t>
  </si>
  <si>
    <t>Review flagged items (Items due for review KPI). Update signal digests. Check editorial angles for Dealflow.news.</t>
  </si>
  <si>
    <t>Wednesday</t>
  </si>
  <si>
    <t>Convert 1-2 high-priority docs into Knowledge Cards. Link new cards to existing patterns. Ask: does this confirm or challenge a thesis?</t>
  </si>
  <si>
    <t>Friday</t>
  </si>
  <si>
    <t>Quick KPI check on Start Here. Archive stale signals. Note any new pattern observations from the week's deal activity.</t>
  </si>
  <si>
    <t>Validate patterns (monthly cadence items). Review failure patterns against recent deal outcomes. Update benchmarks if new editions published.</t>
  </si>
  <si>
    <t>Reassess all theses. Update market maps and sector heatmaps. Check Asset Class balance (target: &gt;50% proprietary). Purge or archive obsolete items.</t>
  </si>
  <si>
    <t>The Strategic Insight</t>
  </si>
  <si>
    <t>Your competitive advantage is not having information — everyone can download Bain and McKinsey reports. Your advantage is the conversion speed from document to actionable deal intelligence. The faster you turn a market report into a Knowledge Card, link it to a pattern, and test it against a thesis, the wider your moat becomes. That's why this system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</si>
</sst>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1"/>
      <color rgb="FF0F172A"/>
      <name val="Carlito"/>
    </font>
    <font>
      <sz val="11"/>
      <color rgb="FF000000"/>
      <name val="Carlito"/>
    </font>
    <font>
      <sz val="11"/>
      <color rgb="FF6B7280"/>
      <name val="Carlito"/>
    </font>
    <font>
      <sz val="11"/>
      <color rgb="FF2563EB"/>
      <name val="Carlito"/>
    </font>
    <font>
      <b/>
      <sz val="11"/>
      <color rgb="FFDC2626"/>
      <name val="Carlito"/>
    </font>
    <font>
      <b/>
      <sz val="12"/>
      <color rgb="FF0F766E"/>
      <name val="Carlito"/>
    </font>
    <font>
      <b/>
      <sz val="11"/>
      <color rgb="FF6B7280"/>
      <name val="Carlito"/>
    </font>
    <font>
      <b/>
      <sz val="11"/>
      <color rgb="FF2563EB"/>
      <name val="Carlito"/>
    </font>
    <font>
      <sz val="10"/>
      <name val="Carlito"/>
    </font>
    <font>
      <b/>
      <sz val="10"/>
      <name val="Carlito"/>
    </font>
    <font>
      <sz val="10"/>
      <color rgb="FF2563EB"/>
      <name val="Carlito"/>
    </font>
    <font>
      <b/>
      <sz val="10"/>
      <color rgb="FFDC2626"/>
      <name val="Carlito"/>
    </font>
    <font>
      <b/>
      <sz val="13"/>
      <color rgb="FF0F766E"/>
      <name val="Carlito"/>
    </font>
    <font>
      <sz val="11"/>
      <color rgb="FF374151"/>
      <name val="Carlito"/>
    </font>
    <font>
      <b/>
      <sz val="10"/>
      <color rgb="FF7C3AED"/>
      <name val="Carlito"/>
    </font>
    <font>
      <b/>
      <sz val="10"/>
      <color rgb="FFD97706"/>
      <name val="Carlito"/>
    </font>
    <font>
      <b/>
      <sz val="10"/>
      <color rgb="FFFFFFFF"/>
      <name val="Carlito"/>
    </font>
    <font>
      <i/>
      <sz val="11"/>
      <color rgb="FF374151"/>
      <name val="Carlito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6F4EA"/>
      </patternFill>
    </fill>
    <fill>
      <patternFill patternType="solid">
        <fgColor rgb="FFE8F0FE"/>
      </patternFill>
    </fill>
    <fill>
      <patternFill patternType="solid">
        <fgColor rgb="FF0F766E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EDF7D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0FDF4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rgb="FF44B3E1"/>
      </right>
      <top/>
      <bottom/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D9D9D9"/>
      </top>
      <bottom style="thin">
        <color rgb="FFB0B0B0"/>
      </bottom>
      <diagonal/>
    </border>
    <border>
      <left style="thin">
        <color rgb="FFB0B0B0"/>
      </left>
      <right style="thin">
        <color rgb="FFD9D9D9"/>
      </right>
      <top style="thin">
        <color rgb="FFB0B0B0"/>
      </top>
      <bottom style="thin">
        <color rgb="FFD9D9D9"/>
      </bottom>
      <diagonal/>
    </border>
    <border>
      <left style="thin">
        <color rgb="FFD9D9D9"/>
      </left>
      <right style="thin">
        <color rgb="FFB0B0B0"/>
      </right>
      <top style="thin">
        <color rgb="FFB0B0B0"/>
      </top>
      <bottom style="thin">
        <color rgb="FFD9D9D9"/>
      </bottom>
      <diagonal/>
    </border>
    <border>
      <left style="thin">
        <color rgb="FFB0B0B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0B0B0"/>
      </right>
      <top style="thin">
        <color rgb="FFD9D9D9"/>
      </top>
      <bottom style="thin">
        <color rgb="FFD9D9D9"/>
      </bottom>
      <diagonal/>
    </border>
    <border>
      <left style="thin">
        <color rgb="FFB0B0B0"/>
      </left>
      <right style="thin">
        <color rgb="FFD9D9D9"/>
      </right>
      <top style="thin">
        <color rgb="FFD9D9D9"/>
      </top>
      <bottom style="thin">
        <color rgb="FFB0B0B0"/>
      </bottom>
      <diagonal/>
    </border>
    <border>
      <left style="thin">
        <color rgb="FFD9D9D9"/>
      </left>
      <right style="thin">
        <color rgb="FFB0B0B0"/>
      </right>
      <top style="thin">
        <color rgb="FFD9D9D9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E0E0E0"/>
      </bottom>
      <diagonal/>
    </border>
    <border>
      <left/>
      <right style="thin">
        <color rgb="FFB0B0B0"/>
      </right>
      <top style="thin">
        <color rgb="FFB0B0B0"/>
      </top>
      <bottom style="thin">
        <color rgb="FFE0E0E0"/>
      </bottom>
      <diagonal/>
    </border>
    <border>
      <left style="thin">
        <color rgb="FFB0B0B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B0B0B0"/>
      </right>
      <top style="thin">
        <color rgb="FFE0E0E0"/>
      </top>
      <bottom style="thin">
        <color rgb="FFE0E0E0"/>
      </bottom>
      <diagonal/>
    </border>
    <border>
      <left style="thin">
        <color rgb="FFB0B0B0"/>
      </left>
      <right/>
      <top style="thin">
        <color rgb="FFE0E0E0"/>
      </top>
      <bottom style="thin">
        <color rgb="FFB0B0B0"/>
      </bottom>
      <diagonal/>
    </border>
    <border>
      <left/>
      <right style="thin">
        <color rgb="FFB0B0B0"/>
      </right>
      <top style="thin">
        <color rgb="FFE0E0E0"/>
      </top>
      <bottom style="thin">
        <color rgb="FFB0B0B0"/>
      </bottom>
      <diagonal/>
    </border>
    <border>
      <left style="thin">
        <color rgb="FFB0B0B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B0B0B0"/>
      </right>
      <top style="thin">
        <color rgb="FFD9D9D9"/>
      </top>
      <bottom/>
      <diagonal/>
    </border>
    <border>
      <left style="thin">
        <color rgb="FFB0B0B0"/>
      </left>
      <right/>
      <top style="thin">
        <color rgb="FFD9D9D9"/>
      </top>
      <bottom/>
      <diagonal/>
    </border>
    <border>
      <left style="thin">
        <color rgb="FFB0B0B0"/>
      </left>
      <right/>
      <top style="thin">
        <color rgb="FFE0E0E0"/>
      </top>
      <bottom/>
      <diagonal/>
    </border>
    <border>
      <left/>
      <right style="thin">
        <color rgb="FFB0B0B0"/>
      </right>
      <top style="thin">
        <color rgb="FFE0E0E0"/>
      </top>
      <bottom/>
      <diagonal/>
    </border>
    <border>
      <left style="medium">
        <color rgb="FF0F766E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1" fillId="6" borderId="3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5" fillId="9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/>
    <xf numFmtId="0" fontId="3" fillId="0" borderId="1" xfId="0" applyFont="1" applyBorder="1"/>
    <xf numFmtId="9" fontId="0" fillId="0" borderId="0" xfId="0" applyNumberFormat="1" applyFont="1"/>
    <xf numFmtId="9" fontId="3" fillId="0" borderId="1" xfId="0" applyNumberFormat="1" applyFont="1" applyBorder="1"/>
    <xf numFmtId="0" fontId="10" fillId="0" borderId="0" xfId="0" applyFont="1"/>
    <xf numFmtId="0" fontId="3" fillId="4" borderId="14" xfId="0" applyFont="1" applyFill="1" applyBorder="1" applyAlignment="1">
      <alignment wrapText="1"/>
    </xf>
    <xf numFmtId="0" fontId="0" fillId="0" borderId="15" xfId="0" applyBorder="1" applyAlignment="1">
      <alignment wrapText="1"/>
    </xf>
    <xf numFmtId="0" fontId="3" fillId="4" borderId="16" xfId="0" applyFont="1" applyFill="1" applyBorder="1" applyAlignment="1">
      <alignment wrapText="1"/>
    </xf>
    <xf numFmtId="0" fontId="0" fillId="0" borderId="17" xfId="0" applyBorder="1" applyAlignment="1">
      <alignment wrapText="1"/>
    </xf>
    <xf numFmtId="0" fontId="3" fillId="4" borderId="18" xfId="0" applyFont="1" applyFill="1" applyBorder="1" applyAlignment="1">
      <alignment wrapText="1"/>
    </xf>
    <xf numFmtId="0" fontId="0" fillId="0" borderId="19" xfId="0" applyBorder="1" applyAlignment="1">
      <alignment wrapText="1"/>
    </xf>
    <xf numFmtId="0" fontId="3" fillId="10" borderId="13" xfId="0" applyFont="1" applyFill="1" applyBorder="1" applyAlignment="1">
      <alignment wrapText="1"/>
    </xf>
    <xf numFmtId="0" fontId="3" fillId="5" borderId="14" xfId="0" applyFont="1" applyFill="1" applyBorder="1" applyAlignment="1">
      <alignment wrapText="1"/>
    </xf>
    <xf numFmtId="0" fontId="3" fillId="5" borderId="16" xfId="0" applyFont="1" applyFill="1" applyBorder="1" applyAlignment="1">
      <alignment wrapText="1"/>
    </xf>
    <xf numFmtId="0" fontId="3" fillId="10" borderId="16" xfId="0" applyFont="1" applyFill="1" applyBorder="1" applyAlignment="1">
      <alignment wrapText="1"/>
    </xf>
    <xf numFmtId="1" fontId="0" fillId="0" borderId="15" xfId="0" applyNumberFormat="1" applyBorder="1" applyAlignment="1">
      <alignment horizontal="right" wrapText="1"/>
    </xf>
    <xf numFmtId="1" fontId="0" fillId="0" borderId="17" xfId="0" applyNumberFormat="1" applyBorder="1" applyAlignment="1">
      <alignment horizontal="right" wrapText="1"/>
    </xf>
    <xf numFmtId="9" fontId="0" fillId="0" borderId="17" xfId="0" applyNumberFormat="1" applyFont="1" applyBorder="1" applyAlignment="1">
      <alignment horizontal="right" wrapText="1"/>
    </xf>
    <xf numFmtId="1" fontId="0" fillId="0" borderId="17" xfId="0" applyNumberFormat="1" applyFont="1" applyBorder="1" applyAlignment="1">
      <alignment horizontal="right" wrapText="1"/>
    </xf>
    <xf numFmtId="0" fontId="11" fillId="11" borderId="20" xfId="0" applyFont="1" applyFill="1" applyBorder="1" applyAlignment="1">
      <alignment wrapText="1"/>
    </xf>
    <xf numFmtId="0" fontId="0" fillId="11" borderId="21" xfId="0" applyFont="1" applyFill="1" applyBorder="1" applyAlignment="1">
      <alignment wrapText="1"/>
    </xf>
    <xf numFmtId="0" fontId="12" fillId="12" borderId="22" xfId="0" applyFont="1" applyFill="1" applyBorder="1" applyAlignment="1">
      <alignment wrapText="1"/>
    </xf>
    <xf numFmtId="0" fontId="0" fillId="12" borderId="23" xfId="0" applyFont="1" applyFill="1" applyBorder="1" applyAlignment="1">
      <alignment wrapText="1"/>
    </xf>
    <xf numFmtId="0" fontId="9" fillId="13" borderId="24" xfId="0" applyFont="1" applyFill="1" applyBorder="1" applyAlignment="1">
      <alignment wrapText="1"/>
    </xf>
    <xf numFmtId="0" fontId="0" fillId="13" borderId="25" xfId="0" applyFont="1" applyFill="1" applyBorder="1" applyAlignment="1">
      <alignment wrapText="1"/>
    </xf>
    <xf numFmtId="0" fontId="3" fillId="14" borderId="20" xfId="0" applyFont="1" applyFill="1" applyBorder="1" applyAlignment="1">
      <alignment wrapText="1"/>
    </xf>
    <xf numFmtId="0" fontId="0" fillId="0" borderId="21" xfId="0" applyFont="1" applyBorder="1" applyAlignment="1">
      <alignment wrapText="1"/>
    </xf>
    <xf numFmtId="0" fontId="3" fillId="14" borderId="22" xfId="0" applyFont="1" applyFill="1" applyBorder="1" applyAlignment="1">
      <alignment wrapText="1"/>
    </xf>
    <xf numFmtId="0" fontId="7" fillId="0" borderId="23" xfId="0" applyFont="1" applyBorder="1" applyAlignment="1">
      <alignment wrapText="1"/>
    </xf>
    <xf numFmtId="0" fontId="3" fillId="14" borderId="24" xfId="0" applyFont="1" applyFill="1" applyBorder="1" applyAlignment="1">
      <alignment wrapText="1"/>
    </xf>
    <xf numFmtId="0" fontId="0" fillId="0" borderId="25" xfId="0" applyFont="1" applyBorder="1" applyAlignment="1">
      <alignment wrapText="1"/>
    </xf>
    <xf numFmtId="0" fontId="14" fillId="14" borderId="20" xfId="0" applyFont="1" applyFill="1" applyBorder="1" applyAlignment="1">
      <alignment wrapText="1"/>
    </xf>
    <xf numFmtId="0" fontId="13" fillId="0" borderId="21" xfId="0" applyFont="1" applyBorder="1" applyAlignment="1">
      <alignment wrapText="1"/>
    </xf>
    <xf numFmtId="0" fontId="14" fillId="14" borderId="22" xfId="0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0" fontId="14" fillId="14" borderId="24" xfId="0" applyFont="1" applyFill="1" applyBorder="1" applyAlignment="1">
      <alignment wrapText="1"/>
    </xf>
    <xf numFmtId="0" fontId="13" fillId="0" borderId="25" xfId="0" applyFont="1" applyBorder="1" applyAlignment="1">
      <alignment wrapText="1"/>
    </xf>
    <xf numFmtId="0" fontId="0" fillId="0" borderId="0" xfId="0" applyAlignment="1"/>
    <xf numFmtId="164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7" borderId="3" xfId="0" applyFont="1" applyFill="1" applyBorder="1" applyAlignment="1"/>
    <xf numFmtId="0" fontId="6" fillId="7" borderId="4" xfId="0" applyFont="1" applyFill="1" applyBorder="1" applyAlignment="1"/>
    <xf numFmtId="0" fontId="6" fillId="7" borderId="7" xfId="0" applyFont="1" applyFill="1" applyBorder="1" applyAlignment="1"/>
    <xf numFmtId="0" fontId="6" fillId="7" borderId="2" xfId="0" applyFont="1" applyFill="1" applyBorder="1" applyAlignment="1"/>
    <xf numFmtId="164" fontId="6" fillId="7" borderId="2" xfId="0" applyNumberFormat="1" applyFont="1" applyFill="1" applyBorder="1" applyAlignment="1"/>
    <xf numFmtId="1" fontId="6" fillId="7" borderId="2" xfId="0" applyNumberFormat="1" applyFont="1" applyFill="1" applyBorder="1" applyAlignment="1"/>
    <xf numFmtId="1" fontId="6" fillId="8" borderId="2" xfId="0" applyNumberFormat="1" applyFont="1" applyFill="1" applyBorder="1" applyAlignment="1"/>
    <xf numFmtId="0" fontId="6" fillId="7" borderId="8" xfId="0" applyFont="1" applyFill="1" applyBorder="1" applyAlignment="1"/>
    <xf numFmtId="0" fontId="6" fillId="7" borderId="0" xfId="0" applyFont="1" applyFill="1" applyBorder="1" applyAlignment="1"/>
    <xf numFmtId="164" fontId="6" fillId="7" borderId="0" xfId="0" applyNumberFormat="1" applyFont="1" applyFill="1" applyBorder="1" applyAlignment="1"/>
    <xf numFmtId="1" fontId="6" fillId="7" borderId="0" xfId="0" applyNumberFormat="1" applyFont="1" applyFill="1" applyBorder="1" applyAlignment="1"/>
    <xf numFmtId="1" fontId="6" fillId="8" borderId="0" xfId="0" applyNumberFormat="1" applyFont="1" applyFill="1" applyBorder="1" applyAlignment="1"/>
    <xf numFmtId="0" fontId="6" fillId="7" borderId="9" xfId="0" applyFont="1" applyFill="1" applyBorder="1" applyAlignment="1"/>
    <xf numFmtId="0" fontId="6" fillId="7" borderId="5" xfId="0" applyFont="1" applyFill="1" applyBorder="1" applyAlignment="1"/>
    <xf numFmtId="164" fontId="6" fillId="7" borderId="5" xfId="0" applyNumberFormat="1" applyFont="1" applyFill="1" applyBorder="1" applyAlignment="1"/>
    <xf numFmtId="1" fontId="6" fillId="7" borderId="5" xfId="0" applyNumberFormat="1" applyFont="1" applyFill="1" applyBorder="1" applyAlignment="1"/>
    <xf numFmtId="1" fontId="6" fillId="8" borderId="5" xfId="0" applyNumberFormat="1" applyFont="1" applyFill="1" applyBorder="1" applyAlignment="1"/>
    <xf numFmtId="0" fontId="6" fillId="7" borderId="6" xfId="0" applyFont="1" applyFill="1" applyBorder="1" applyAlignment="1"/>
    <xf numFmtId="0" fontId="4" fillId="6" borderId="10" xfId="0" applyFont="1" applyFill="1" applyBorder="1" applyAlignment="1">
      <alignment horizontal="center" wrapText="1"/>
    </xf>
    <xf numFmtId="0" fontId="4" fillId="6" borderId="10" xfId="0" applyFont="1" applyFill="1" applyBorder="1" applyAlignment="1">
      <alignment horizontal="left" wrapText="1"/>
    </xf>
    <xf numFmtId="0" fontId="0" fillId="0" borderId="0" xfId="0" applyFont="1" applyAlignment="1"/>
    <xf numFmtId="164" fontId="0" fillId="0" borderId="0" xfId="0" applyNumberFormat="1" applyFont="1" applyAlignment="1"/>
    <xf numFmtId="0" fontId="1" fillId="15" borderId="0" xfId="0" applyFont="1" applyFill="1" applyAlignment="1">
      <alignment horizontal="center"/>
    </xf>
    <xf numFmtId="0" fontId="13" fillId="13" borderId="0" xfId="0" applyFont="1" applyFill="1" applyAlignment="1">
      <alignment vertical="top" wrapText="1"/>
    </xf>
    <xf numFmtId="164" fontId="13" fillId="13" borderId="0" xfId="0" applyNumberFormat="1" applyFont="1" applyFill="1" applyAlignment="1">
      <alignment vertical="top" wrapText="1"/>
    </xf>
    <xf numFmtId="0" fontId="13" fillId="16" borderId="0" xfId="0" applyFont="1" applyFill="1" applyAlignment="1">
      <alignment vertical="top" wrapText="1"/>
    </xf>
    <xf numFmtId="164" fontId="13" fillId="16" borderId="0" xfId="0" applyNumberFormat="1" applyFont="1" applyFill="1" applyAlignment="1">
      <alignment vertical="top" wrapText="1"/>
    </xf>
    <xf numFmtId="0" fontId="14" fillId="13" borderId="0" xfId="0" applyFont="1" applyFill="1" applyAlignment="1">
      <alignment vertical="top" wrapText="1"/>
    </xf>
    <xf numFmtId="0" fontId="14" fillId="16" borderId="0" xfId="0" applyFont="1" applyFill="1" applyAlignment="1">
      <alignment vertical="top" wrapText="1"/>
    </xf>
    <xf numFmtId="0" fontId="15" fillId="13" borderId="0" xfId="0" applyFont="1" applyFill="1" applyAlignment="1">
      <alignment vertical="top" wrapText="1"/>
    </xf>
    <xf numFmtId="0" fontId="15" fillId="16" borderId="0" xfId="0" applyFont="1" applyFill="1" applyAlignment="1">
      <alignment vertical="top" wrapText="1"/>
    </xf>
    <xf numFmtId="0" fontId="16" fillId="16" borderId="0" xfId="0" applyFont="1" applyFill="1" applyAlignment="1">
      <alignment vertical="top" wrapText="1"/>
    </xf>
    <xf numFmtId="0" fontId="16" fillId="13" borderId="0" xfId="0" applyFont="1" applyFill="1" applyAlignment="1">
      <alignment vertical="top" wrapText="1"/>
    </xf>
    <xf numFmtId="0" fontId="3" fillId="10" borderId="26" xfId="0" applyFont="1" applyFill="1" applyBorder="1" applyAlignment="1">
      <alignment wrapText="1"/>
    </xf>
    <xf numFmtId="1" fontId="0" fillId="0" borderId="27" xfId="0" applyNumberFormat="1" applyFont="1" applyBorder="1" applyAlignment="1">
      <alignment horizontal="right" wrapText="1"/>
    </xf>
    <xf numFmtId="0" fontId="3" fillId="10" borderId="28" xfId="0" applyFont="1" applyFill="1" applyBorder="1" applyAlignment="1">
      <alignment wrapText="1"/>
    </xf>
    <xf numFmtId="1" fontId="0" fillId="16" borderId="27" xfId="0" applyNumberFormat="1" applyFont="1" applyFill="1" applyBorder="1" applyAlignment="1">
      <alignment horizontal="right" wrapText="1"/>
    </xf>
    <xf numFmtId="0" fontId="0" fillId="16" borderId="19" xfId="0" applyFont="1" applyFill="1" applyBorder="1" applyAlignment="1">
      <alignment horizontal="right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" fillId="6" borderId="0" xfId="0" applyFont="1" applyFill="1" applyAlignment="1">
      <alignment horizontal="left" wrapText="1"/>
    </xf>
    <xf numFmtId="0" fontId="1" fillId="17" borderId="11" xfId="0" applyFont="1" applyFill="1" applyBorder="1" applyAlignment="1">
      <alignment vertical="top" wrapText="1"/>
    </xf>
    <xf numFmtId="0" fontId="18" fillId="18" borderId="12" xfId="0" applyFont="1" applyFill="1" applyBorder="1" applyAlignment="1">
      <alignment vertical="top" wrapText="1"/>
    </xf>
    <xf numFmtId="0" fontId="1" fillId="15" borderId="29" xfId="0" applyFont="1" applyFill="1" applyBorder="1" applyAlignment="1">
      <alignment vertical="top" wrapText="1"/>
    </xf>
    <xf numFmtId="0" fontId="18" fillId="13" borderId="30" xfId="0" applyFont="1" applyFill="1" applyBorder="1" applyAlignment="1">
      <alignment vertical="top" wrapText="1"/>
    </xf>
    <xf numFmtId="0" fontId="1" fillId="19" borderId="29" xfId="0" applyFont="1" applyFill="1" applyBorder="1" applyAlignment="1">
      <alignment vertical="top" wrapText="1"/>
    </xf>
    <xf numFmtId="0" fontId="18" fillId="20" borderId="30" xfId="0" applyFont="1" applyFill="1" applyBorder="1" applyAlignment="1">
      <alignment vertical="top" wrapText="1"/>
    </xf>
    <xf numFmtId="0" fontId="1" fillId="21" borderId="29" xfId="0" applyFont="1" applyFill="1" applyBorder="1" applyAlignment="1">
      <alignment vertical="top" wrapText="1"/>
    </xf>
    <xf numFmtId="0" fontId="18" fillId="22" borderId="30" xfId="0" applyFont="1" applyFill="1" applyBorder="1" applyAlignment="1">
      <alignment vertical="top" wrapText="1"/>
    </xf>
    <xf numFmtId="0" fontId="1" fillId="23" borderId="24" xfId="0" applyFont="1" applyFill="1" applyBorder="1" applyAlignment="1">
      <alignment vertical="top" wrapText="1"/>
    </xf>
    <xf numFmtId="0" fontId="18" fillId="24" borderId="25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 wrapText="1"/>
    </xf>
    <xf numFmtId="0" fontId="1" fillId="25" borderId="11" xfId="0" applyFont="1" applyFill="1" applyBorder="1" applyAlignment="1">
      <alignment vertical="top" wrapText="1"/>
    </xf>
    <xf numFmtId="0" fontId="1" fillId="25" borderId="12" xfId="0" applyFont="1" applyFill="1" applyBorder="1" applyAlignment="1">
      <alignment vertical="top" wrapText="1"/>
    </xf>
    <xf numFmtId="0" fontId="14" fillId="26" borderId="29" xfId="0" applyFont="1" applyFill="1" applyBorder="1" applyAlignment="1">
      <alignment vertical="top" wrapText="1"/>
    </xf>
    <xf numFmtId="0" fontId="13" fillId="26" borderId="30" xfId="0" applyFont="1" applyFill="1" applyBorder="1" applyAlignment="1">
      <alignment vertical="top" wrapText="1"/>
    </xf>
    <xf numFmtId="0" fontId="14" fillId="12" borderId="29" xfId="0" applyFont="1" applyFill="1" applyBorder="1" applyAlignment="1">
      <alignment vertical="top" wrapText="1"/>
    </xf>
    <xf numFmtId="0" fontId="13" fillId="12" borderId="30" xfId="0" applyFont="1" applyFill="1" applyBorder="1" applyAlignment="1">
      <alignment vertical="top" wrapText="1"/>
    </xf>
    <xf numFmtId="0" fontId="16" fillId="13" borderId="29" xfId="0" applyFont="1" applyFill="1" applyBorder="1" applyAlignment="1">
      <alignment vertical="top" wrapText="1"/>
    </xf>
    <xf numFmtId="0" fontId="13" fillId="13" borderId="30" xfId="0" applyFont="1" applyFill="1" applyBorder="1" applyAlignment="1">
      <alignment vertical="top" wrapText="1"/>
    </xf>
    <xf numFmtId="0" fontId="19" fillId="20" borderId="29" xfId="0" applyFont="1" applyFill="1" applyBorder="1" applyAlignment="1">
      <alignment vertical="top" wrapText="1"/>
    </xf>
    <xf numFmtId="0" fontId="13" fillId="20" borderId="30" xfId="0" applyFont="1" applyFill="1" applyBorder="1" applyAlignment="1">
      <alignment vertical="top" wrapText="1"/>
    </xf>
    <xf numFmtId="0" fontId="20" fillId="22" borderId="29" xfId="0" applyFont="1" applyFill="1" applyBorder="1" applyAlignment="1">
      <alignment vertical="top" wrapText="1"/>
    </xf>
    <xf numFmtId="0" fontId="13" fillId="22" borderId="30" xfId="0" applyFont="1" applyFill="1" applyBorder="1" applyAlignment="1">
      <alignment vertical="top" wrapText="1"/>
    </xf>
    <xf numFmtId="0" fontId="14" fillId="11" borderId="29" xfId="0" applyFont="1" applyFill="1" applyBorder="1" applyAlignment="1">
      <alignment vertical="top" wrapText="1"/>
    </xf>
    <xf numFmtId="0" fontId="13" fillId="11" borderId="30" xfId="0" applyFont="1" applyFill="1" applyBorder="1" applyAlignment="1">
      <alignment vertical="top" wrapText="1"/>
    </xf>
    <xf numFmtId="0" fontId="14" fillId="11" borderId="24" xfId="0" applyFont="1" applyFill="1" applyBorder="1" applyAlignment="1">
      <alignment vertical="top" wrapText="1"/>
    </xf>
    <xf numFmtId="0" fontId="13" fillId="11" borderId="25" xfId="0" applyFont="1" applyFill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21" fillId="25" borderId="11" xfId="0" applyFont="1" applyFill="1" applyBorder="1" applyAlignment="1">
      <alignment vertical="top" wrapText="1"/>
    </xf>
    <xf numFmtId="0" fontId="21" fillId="25" borderId="12" xfId="0" applyFont="1" applyFill="1" applyBorder="1" applyAlignment="1">
      <alignment vertical="top" wrapText="1"/>
    </xf>
    <xf numFmtId="0" fontId="14" fillId="18" borderId="29" xfId="0" applyFont="1" applyFill="1" applyBorder="1" applyAlignment="1">
      <alignment vertical="top" wrapText="1"/>
    </xf>
    <xf numFmtId="0" fontId="13" fillId="18" borderId="30" xfId="0" applyFont="1" applyFill="1" applyBorder="1" applyAlignment="1">
      <alignment vertical="top" wrapText="1"/>
    </xf>
    <xf numFmtId="0" fontId="14" fillId="16" borderId="29" xfId="0" applyFont="1" applyFill="1" applyBorder="1" applyAlignment="1">
      <alignment vertical="top" wrapText="1"/>
    </xf>
    <xf numFmtId="0" fontId="13" fillId="16" borderId="30" xfId="0" applyFont="1" applyFill="1" applyBorder="1" applyAlignment="1">
      <alignment vertical="top" wrapText="1"/>
    </xf>
    <xf numFmtId="0" fontId="14" fillId="18" borderId="24" xfId="0" applyFont="1" applyFill="1" applyBorder="1" applyAlignment="1">
      <alignment vertical="top" wrapText="1"/>
    </xf>
    <xf numFmtId="0" fontId="13" fillId="18" borderId="25" xfId="0" applyFont="1" applyFill="1" applyBorder="1" applyAlignment="1">
      <alignment vertical="top" wrapText="1"/>
    </xf>
    <xf numFmtId="0" fontId="14" fillId="26" borderId="24" xfId="0" applyFont="1" applyFill="1" applyBorder="1" applyAlignment="1">
      <alignment vertical="top" wrapText="1"/>
    </xf>
    <xf numFmtId="0" fontId="13" fillId="26" borderId="25" xfId="0" applyFont="1" applyFill="1" applyBorder="1" applyAlignment="1">
      <alignment vertical="top" wrapText="1"/>
    </xf>
    <xf numFmtId="0" fontId="22" fillId="26" borderId="31" xfId="0" applyFont="1" applyFill="1" applyBorder="1" applyAlignment="1">
      <alignment vertical="top" wrapText="1"/>
    </xf>
    <xf numFmtId="0" fontId="22" fillId="26" borderId="32" xfId="0" applyFont="1" applyFill="1" applyBorder="1" applyAlignment="1">
      <alignment vertical="top" wrapText="1"/>
    </xf>
  </cellXfs>
  <cellStyles count="1">
    <cellStyle name="Normal" xfId="0" builtinId="0"/>
  </cellStyles>
  <dxfs count="71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sz val="11"/>
        <color rgb="FF000000"/>
        <name val="Carlito"/>
      </font>
      <fill>
        <patternFill patternType="solid">
          <fgColor indexed="64"/>
          <bgColor rgb="FFC0E6F5"/>
        </patternFill>
      </fill>
      <alignment wrapText="0"/>
      <border diagonalUp="0" diagonalDown="0">
        <left/>
        <right style="thin">
          <color rgb="FF44B3E1"/>
        </right>
        <top/>
        <bottom/>
        <vertical/>
        <horizontal/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Starter Pack by Library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Library_Master!$A$55:$A$64</c:f>
              <c:strCache>
                <c:ptCount val="10"/>
                <c:pt idx="0">
                  <c:v>EBL-0054</c:v>
                </c:pt>
                <c:pt idx="1">
                  <c:v>EBL-0055</c:v>
                </c:pt>
                <c:pt idx="2">
                  <c:v>EBL-0056</c:v>
                </c:pt>
                <c:pt idx="3">
                  <c:v>EBL-0057</c:v>
                </c:pt>
                <c:pt idx="4">
                  <c:v>EBL-0058</c:v>
                </c:pt>
                <c:pt idx="5">
                  <c:v>EBL-0059</c:v>
                </c:pt>
                <c:pt idx="6">
                  <c:v>EBL-0060</c:v>
                </c:pt>
                <c:pt idx="7">
                  <c:v>EBL-0061</c:v>
                </c:pt>
                <c:pt idx="8">
                  <c:v>EBL-0062</c:v>
                </c:pt>
                <c:pt idx="9">
                  <c:v>EBL-0063</c:v>
                </c:pt>
              </c:strCache>
            </c:strRef>
          </c:cat>
          <c:val>
            <c:numRef>
              <c:f>Library_Master!$B$55:$B$64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2-48B7-A7C3-BC9F58FED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1</xdr:row>
      <xdr:rowOff>0</xdr:rowOff>
    </xdr:from>
    <xdr:to>
      <xdr:col>58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braryMasterTable" displayName="LibraryMasterTable" ref="A1:AW68" dataDxfId="21">
  <tableColumns count="49">
    <tableColumn id="1" xr3:uid="{00000000-0010-0000-0000-000001000000}" name="Short ID" dataDxfId="70"/>
    <tableColumn id="2" xr3:uid="{00000000-0010-0000-0000-000002000000}" name="Title" dataDxfId="69"/>
    <tableColumn id="3" xr3:uid="{00000000-0010-0000-0000-000003000000}" name="File Name" dataDxfId="68"/>
    <tableColumn id="4" xr3:uid="{00000000-0010-0000-0000-000004000000}" name="KA Type" dataDxfId="67"/>
    <tableColumn id="5" xr3:uid="{00000000-0010-0000-0000-000005000000}" name="Library Category" dataDxfId="66"/>
    <tableColumn id="6" xr3:uid="{00000000-0010-0000-0000-000006000000}" name="Source" dataDxfId="65"/>
    <tableColumn id="7" xr3:uid="{00000000-0010-0000-0000-000007000000}" name="Source Type" dataDxfId="64"/>
    <tableColumn id="8" xr3:uid="{00000000-0010-0000-0000-000008000000}" name="Asset Format" dataDxfId="63"/>
    <tableColumn id="9" xr3:uid="{00000000-0010-0000-0000-000009000000}" name="Sector" dataDxfId="62"/>
    <tableColumn id="10" xr3:uid="{00000000-0010-0000-0000-00000A000000}" name="Geography" dataDxfId="61"/>
    <tableColumn id="11" xr3:uid="{00000000-0010-0000-0000-00000B000000}" name="Company Relevance" dataDxfId="60"/>
    <tableColumn id="12" xr3:uid="{00000000-0010-0000-0000-00000C000000}" name="Theme" dataDxfId="59"/>
    <tableColumn id="13" xr3:uid="{00000000-0010-0000-0000-00000D000000}" name="Publication Date" dataDxfId="58"/>
    <tableColumn id="14" xr3:uid="{00000000-0010-0000-0000-00000E000000}" name="Ingest Date" dataDxfId="57"/>
    <tableColumn id="15" xr3:uid="{00000000-0010-0000-0000-00000F000000}" name="Last Reviewed" dataDxfId="56"/>
    <tableColumn id="16" xr3:uid="{00000000-0010-0000-0000-000010000000}" name="Update Cadence" dataDxfId="55"/>
    <tableColumn id="17" xr3:uid="{00000000-0010-0000-0000-000011000000}" name="Next Review Date" dataDxfId="54"/>
    <tableColumn id="18" xr3:uid="{00000000-0010-0000-0000-000012000000}" name="Freshness Class" dataDxfId="53"/>
    <tableColumn id="19" xr3:uid="{00000000-0010-0000-0000-000013000000}" name="Time Sensitivity" dataDxfId="52"/>
    <tableColumn id="20" xr3:uid="{00000000-0010-0000-0000-000014000000}" name="Confidence" dataDxfId="51"/>
    <tableColumn id="21" xr3:uid="{00000000-0010-0000-0000-000015000000}" name="Evidence Status" dataDxfId="50"/>
    <tableColumn id="22" xr3:uid="{00000000-0010-0000-0000-000016000000}" name="Editorial Value" dataDxfId="49"/>
    <tableColumn id="23" xr3:uid="{00000000-0010-0000-0000-000017000000}" name="Commercial Value" dataDxfId="48"/>
    <tableColumn id="24" xr3:uid="{00000000-0010-0000-0000-000018000000}" name="Reuse Potential" dataDxfId="47"/>
    <tableColumn id="25" xr3:uid="{00000000-0010-0000-0000-000019000000}" name="Value Score" dataDxfId="46"/>
    <tableColumn id="26" xr3:uid="{00000000-0010-0000-0000-00001A000000}" name="Novelty" dataDxfId="45"/>
    <tableColumn id="27" xr3:uid="{00000000-0010-0000-0000-00001B000000}" name="Priority" dataDxfId="44"/>
    <tableColumn id="28" xr3:uid="{00000000-0010-0000-0000-00001C000000}" name="Editorial Status" dataDxfId="43"/>
    <tableColumn id="29" xr3:uid="{00000000-0010-0000-0000-00001D000000}" name="Conversion Target" dataDxfId="42"/>
    <tableColumn id="30" xr3:uid="{00000000-0010-0000-0000-00001E000000}" name="Ready for Conversion" dataDxfId="41"/>
    <tableColumn id="31" xr3:uid="{00000000-0010-0000-0000-00001F000000}" name="Publishing Relevance" dataDxfId="40"/>
    <tableColumn id="32" xr3:uid="{00000000-0010-0000-0000-000020000000}" name="Sensitivity" dataDxfId="39"/>
    <tableColumn id="33" xr3:uid="{00000000-0010-0000-0000-000021000000}" name="Owner" dataDxfId="38"/>
    <tableColumn id="34" xr3:uid="{00000000-0010-0000-0000-000022000000}" name="Reviewer" dataDxfId="37"/>
    <tableColumn id="35" xr3:uid="{00000000-0010-0000-0000-000023000000}" name="Linked Patterns" dataDxfId="36"/>
    <tableColumn id="36" xr3:uid="{00000000-0010-0000-0000-000024000000}" name="Linked Theses" dataDxfId="35"/>
    <tableColumn id="37" xr3:uid="{00000000-0010-0000-0000-000025000000}" name="External URL" dataDxfId="34"/>
    <tableColumn id="38" xr3:uid="{00000000-0010-0000-0000-000026000000}" name="Storage Status" dataDxfId="33"/>
    <tableColumn id="39" xr3:uid="{00000000-0010-0000-0000-000027000000}" name="Executive Summary" dataDxfId="32"/>
    <tableColumn id="40" xr3:uid="{00000000-0010-0000-0000-000028000000}" name="Why It Matters" dataDxfId="31"/>
    <tableColumn id="41" xr3:uid="{00000000-0010-0000-0000-000029000000}" name="Editorial Angle Notes" dataDxfId="30"/>
    <tableColumn id="42" xr3:uid="{00000000-0010-0000-0000-00002A000000}" name="Commercial Use Notes" dataDxfId="29"/>
    <tableColumn id="43" xr3:uid="{00000000-0010-0000-0000-00002B000000}" name="Gaps / Follow-Up Needed" dataDxfId="28"/>
    <tableColumn id="44" xr3:uid="{00000000-0010-0000-0000-00002C000000}" name="Starter Pack 50" dataDxfId="27"/>
    <tableColumn id="45" xr3:uid="{00000000-0010-0000-0000-00002D000000}" name="Core Asset" dataDxfId="26"/>
    <tableColumn id="46" xr3:uid="{00000000-0010-0000-0000-00002E000000}" name="Evergreen" dataDxfId="25"/>
    <tableColumn id="47" xr3:uid="{00000000-0010-0000-0000-00002F000000}" name="Obsolete Risk" dataDxfId="24"/>
    <tableColumn id="48" xr3:uid="{00000000-0010-0000-0000-000030000000}" name="Review Due" dataDxfId="23"/>
    <tableColumn id="49" xr3:uid="{7D75D5A5-438B-4443-86A4-C0FDAB01B97A}" name="Asset Clas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atternRegisterTable" displayName="PatternRegisterTable" ref="A1:T9" dataDxfId="0">
  <tableColumns count="20">
    <tableColumn id="1" xr3:uid="{00000000-0010-0000-0200-000001000000}" name="Pattern Name" dataDxfId="20"/>
    <tableColumn id="2" xr3:uid="{00000000-0010-0000-0200-000002000000}" name="Pattern Type" dataDxfId="19"/>
    <tableColumn id="3" xr3:uid="{00000000-0010-0000-0200-000003000000}" name="Status" dataDxfId="18"/>
    <tableColumn id="4" xr3:uid="{00000000-0010-0000-0200-000004000000}" name="Confidence" dataDxfId="17"/>
    <tableColumn id="5" xr3:uid="{00000000-0010-0000-0200-000005000000}" name="Sector" dataDxfId="16"/>
    <tableColumn id="6" xr3:uid="{00000000-0010-0000-0200-000006000000}" name="Geography" dataDxfId="15"/>
    <tableColumn id="7" xr3:uid="{00000000-0010-0000-0200-000007000000}" name="First Seen" dataDxfId="14"/>
    <tableColumn id="8" xr3:uid="{00000000-0010-0000-0200-000008000000}" name="Last Seen" dataDxfId="13"/>
    <tableColumn id="9" xr3:uid="{00000000-0010-0000-0200-000009000000}" name="Frequency 90D" dataDxfId="12"/>
    <tableColumn id="10" xr3:uid="{00000000-0010-0000-0200-00000A000000}" name="Editorial Relevance" dataDxfId="11"/>
    <tableColumn id="11" xr3:uid="{00000000-0010-0000-0200-00000B000000}" name="Commercial Relevance" dataDxfId="10"/>
    <tableColumn id="12" xr3:uid="{00000000-0010-0000-0200-00000C000000}" name="Description" dataDxfId="9"/>
    <tableColumn id="13" xr3:uid="{00000000-0010-0000-0200-00000D000000}" name="Observable Signals" dataDxfId="8"/>
    <tableColumn id="14" xr3:uid="{00000000-0010-0000-0200-00000E000000}" name="Deal Implication" dataDxfId="7"/>
    <tableColumn id="15" xr3:uid="{00000000-0010-0000-0200-00000F000000}" name="Buyer / Founder Relevance" dataDxfId="6"/>
    <tableColumn id="16" xr3:uid="{00000000-0010-0000-0200-000010000000}" name="Linked Library Item IDs" dataDxfId="5"/>
    <tableColumn id="17" xr3:uid="{00000000-0010-0000-0200-000011000000}" name="Pattern Owner" dataDxfId="4"/>
    <tableColumn id="18" xr3:uid="{00000000-0010-0000-0200-000012000000}" name="Review Cadence" dataDxfId="3"/>
    <tableColumn id="19" xr3:uid="{00000000-0010-0000-0200-000013000000}" name="Next Review Date" dataDxfId="2"/>
    <tableColumn id="20" xr3:uid="{00000000-0010-0000-0200-000014000000}" name="Needs Updat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UpdateTimetableTable" displayName="UpdateTimetableTable" ref="A1:F11">
  <tableColumns count="6">
    <tableColumn id="1" xr3:uid="{00000000-0010-0000-0400-000001000000}" name="KA Type"/>
    <tableColumn id="2" xr3:uid="{00000000-0010-0000-0400-000002000000}" name="Default Cadence"/>
    <tableColumn id="3" xr3:uid="{00000000-0010-0000-0400-000003000000}" name="Typical Owner"/>
    <tableColumn id="4" xr3:uid="{00000000-0010-0000-0400-000004000000}" name="Review Trigger"/>
    <tableColumn id="5" xr3:uid="{00000000-0010-0000-0400-000005000000}" name="Recommended Action"/>
    <tableColumn id="6" xr3:uid="{00000000-0010-0000-0400-000006000000}" name="Next Review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E7F7DF-6FF6-4222-A73B-A86AC6CF4B6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f10544f-f297-499a-accb-dc701d56740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Z200"/>
  <sheetViews>
    <sheetView topLeftCell="A42" workbookViewId="0">
      <selection activeCell="C5" sqref="C5"/>
    </sheetView>
  </sheetViews>
  <sheetFormatPr defaultRowHeight="14.25"/>
  <cols>
    <col min="1" max="1" width="20" customWidth="1"/>
    <col min="2" max="2" width="70" customWidth="1"/>
    <col min="3" max="5" width="4" customWidth="1"/>
    <col min="6" max="6" width="30" customWidth="1"/>
    <col min="7" max="7" width="13.375" customWidth="1"/>
    <col min="8" max="8" width="4" customWidth="1"/>
  </cols>
  <sheetData>
    <row r="1" spans="1:26" ht="32.1" customHeight="1">
      <c r="A1" s="4" t="s">
        <v>0</v>
      </c>
      <c r="B1" s="4"/>
      <c r="C1" s="4"/>
      <c r="D1" s="4"/>
      <c r="E1" s="1"/>
      <c r="F1" s="5" t="s">
        <v>1</v>
      </c>
      <c r="G1" s="5" t="s">
        <v>1</v>
      </c>
      <c r="H1" s="5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>
      <c r="A2" s="19" t="s">
        <v>2</v>
      </c>
      <c r="B2" s="20" t="s">
        <v>3</v>
      </c>
      <c r="C2" s="1"/>
      <c r="D2" s="1"/>
      <c r="E2" s="1"/>
      <c r="F2" s="26" t="s">
        <v>4</v>
      </c>
      <c r="G2" s="29">
        <f>COUNTA(Library_Master!A2:A68)</f>
        <v>67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>
      <c r="A3" s="21" t="s">
        <v>5</v>
      </c>
      <c r="B3" s="22" t="s">
        <v>6</v>
      </c>
      <c r="C3" s="1"/>
      <c r="D3" s="1"/>
      <c r="E3" s="1"/>
      <c r="F3" s="27" t="s">
        <v>7</v>
      </c>
      <c r="G3" s="30">
        <f>COUNTIF(Library_Master!AS2:AS68,TRUE)</f>
        <v>57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>
      <c r="A4" s="21" t="s">
        <v>8</v>
      </c>
      <c r="B4" s="22" t="s">
        <v>1063</v>
      </c>
      <c r="C4" s="1"/>
      <c r="D4" s="1"/>
      <c r="E4" s="1"/>
      <c r="F4" s="27" t="s">
        <v>9</v>
      </c>
      <c r="G4" s="30">
        <f>COUNTIF(Library_Master!AT2:AT68,TRUE)</f>
        <v>24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21" t="s">
        <v>10</v>
      </c>
      <c r="B5" s="22" t="s">
        <v>11</v>
      </c>
      <c r="C5" s="1"/>
      <c r="D5" s="1"/>
      <c r="E5" s="1"/>
      <c r="F5" s="27" t="s">
        <v>12</v>
      </c>
      <c r="G5" s="30">
        <f>COUNTIFS(Library_Master!G2:G68,"internal")+COUNTIFS(Library_Master!G2:G68,"mixed")+COUNTIFS(Library_Master!G2:G68,"derived")</f>
        <v>39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21" t="s">
        <v>13</v>
      </c>
      <c r="B6" s="22" t="s">
        <v>14</v>
      </c>
      <c r="C6" s="1"/>
      <c r="D6" s="1"/>
      <c r="E6" s="1"/>
      <c r="F6" s="27" t="s">
        <v>15</v>
      </c>
      <c r="G6" s="30">
        <f>COUNTIF(Library_Master!AA2:AA68,"high")</f>
        <v>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21" t="s">
        <v>16</v>
      </c>
      <c r="B7" s="22" t="s">
        <v>17</v>
      </c>
      <c r="C7" s="1"/>
      <c r="D7" s="1"/>
      <c r="E7" s="1"/>
      <c r="F7" s="28" t="s">
        <v>1064</v>
      </c>
      <c r="G7" s="31">
        <f>COUNTIF(Library_Master!AW2:AW68,"proprietary")/COUNTA(Library_Master!A2:A68)</f>
        <v>0.55223880597014929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23" t="s">
        <v>18</v>
      </c>
      <c r="B8" s="24" t="s">
        <v>19</v>
      </c>
      <c r="C8" s="1"/>
      <c r="D8" s="1"/>
      <c r="E8" s="1"/>
      <c r="F8" s="28" t="s">
        <v>1065</v>
      </c>
      <c r="G8" s="32">
        <f>COUNTA(Pattern_Register!A2:A100)</f>
        <v>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"/>
      <c r="B9" s="1"/>
      <c r="C9" s="1"/>
      <c r="D9" s="1"/>
      <c r="E9" s="1"/>
      <c r="F9" s="90" t="s">
        <v>1066</v>
      </c>
      <c r="G9" s="91">
        <f>COUNTA(Thesis_Register!A2:A100)</f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1"/>
      <c r="B10" s="1"/>
      <c r="C10" s="1"/>
      <c r="D10" s="1"/>
      <c r="E10" s="1"/>
      <c r="F10" s="92" t="s">
        <v>1181</v>
      </c>
      <c r="G10" s="93">
        <f>COUNTA(Knowledge_Cards!A2:A100)</f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>
      <c r="A11" s="1"/>
      <c r="B11" s="1"/>
      <c r="C11" s="1"/>
      <c r="D11" s="1"/>
      <c r="E11" s="1"/>
      <c r="F11" s="25" t="s">
        <v>1067</v>
      </c>
      <c r="G11" s="94">
        <f ca="1">COUNTIF(Library_Master!AV2:AV68,TRUE)</f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95" customHeight="1">
      <c r="A12" s="76" t="s">
        <v>1068</v>
      </c>
      <c r="B12" s="7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95" customHeight="1">
      <c r="A13" s="33" t="s">
        <v>1058</v>
      </c>
      <c r="B13" s="34" t="s">
        <v>1069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95" customHeight="1">
      <c r="A14" s="35" t="s">
        <v>1059</v>
      </c>
      <c r="B14" s="36" t="s">
        <v>1070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95" customHeight="1">
      <c r="A15" s="37" t="s">
        <v>1060</v>
      </c>
      <c r="B15" s="38" t="s">
        <v>1071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95" customHeight="1">
      <c r="A17" s="76" t="s">
        <v>1072</v>
      </c>
      <c r="B17" s="7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95" customHeight="1">
      <c r="A18" s="39" t="s">
        <v>1073</v>
      </c>
      <c r="B18" s="40" t="s">
        <v>1074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5" customHeight="1">
      <c r="A19" s="41" t="s">
        <v>1075</v>
      </c>
      <c r="B19" s="42" t="s">
        <v>70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95" customHeight="1">
      <c r="A20" s="43" t="s">
        <v>1076</v>
      </c>
      <c r="B20" s="44" t="s">
        <v>1077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95" customHeight="1">
      <c r="A22" s="76" t="s">
        <v>1078</v>
      </c>
      <c r="B22" s="7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.95" customHeight="1">
      <c r="A23" s="45" t="s">
        <v>71</v>
      </c>
      <c r="B23" s="46" t="s">
        <v>1079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95" customHeight="1">
      <c r="A24" s="47" t="s">
        <v>396</v>
      </c>
      <c r="B24" s="48" t="s">
        <v>1080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95" customHeight="1">
      <c r="A25" s="47" t="s">
        <v>330</v>
      </c>
      <c r="B25" s="48" t="s">
        <v>1081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5" customHeight="1">
      <c r="A26" s="47" t="s">
        <v>319</v>
      </c>
      <c r="B26" s="48" t="s">
        <v>1082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95" customHeight="1">
      <c r="A27" s="47" t="s">
        <v>777</v>
      </c>
      <c r="B27" s="48" t="s">
        <v>1083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5" customHeight="1">
      <c r="A28" s="47" t="s">
        <v>611</v>
      </c>
      <c r="B28" s="48" t="s">
        <v>1084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95" customHeight="1">
      <c r="A29" s="47" t="s">
        <v>582</v>
      </c>
      <c r="B29" s="48" t="s">
        <v>1085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95" customHeight="1">
      <c r="A30" s="47" t="s">
        <v>597</v>
      </c>
      <c r="B30" s="48" t="s">
        <v>1086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95" customHeight="1">
      <c r="A31" s="47" t="s">
        <v>285</v>
      </c>
      <c r="B31" s="48" t="s">
        <v>1087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95" customHeight="1">
      <c r="A32" s="49" t="s">
        <v>526</v>
      </c>
      <c r="B32" s="50" t="s">
        <v>1088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0.5" customHeight="1">
      <c r="A35" s="97" t="s">
        <v>1182</v>
      </c>
      <c r="B35" s="9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>
      <c r="A37" s="95" t="s">
        <v>1183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7">
      <c r="A38" s="96" t="s">
        <v>1184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5" customHeight="1">
      <c r="A40" s="98" t="s">
        <v>1185</v>
      </c>
      <c r="B40" s="99" t="s">
        <v>1186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5" customHeight="1">
      <c r="A41" s="100" t="s">
        <v>1187</v>
      </c>
      <c r="B41" s="101" t="s">
        <v>1188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5" customHeight="1">
      <c r="A42" s="102" t="s">
        <v>1189</v>
      </c>
      <c r="B42" s="103" t="s">
        <v>1190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5" customHeight="1">
      <c r="A43" s="104" t="s">
        <v>1191</v>
      </c>
      <c r="B43" s="105" t="s">
        <v>1192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5" customHeight="1">
      <c r="A44" s="106" t="s">
        <v>1193</v>
      </c>
      <c r="B44" s="107" t="s">
        <v>1194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08"/>
      <c r="B45" s="10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>
      <c r="A46" s="109" t="s">
        <v>1195</v>
      </c>
      <c r="B46" s="10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08"/>
      <c r="B47" s="10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10" t="s">
        <v>1196</v>
      </c>
      <c r="B48" s="111" t="s">
        <v>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12" t="s">
        <v>1197</v>
      </c>
      <c r="B49" s="113" t="s">
        <v>1198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>
      <c r="A50" s="114" t="s">
        <v>1199</v>
      </c>
      <c r="B50" s="115" t="s">
        <v>1200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>
      <c r="A51" s="116" t="s">
        <v>1201</v>
      </c>
      <c r="B51" s="117" t="s">
        <v>1202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>
      <c r="A52" s="112" t="s">
        <v>1203</v>
      </c>
      <c r="B52" s="113" t="s">
        <v>1204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>
      <c r="A53" s="118" t="s">
        <v>1205</v>
      </c>
      <c r="B53" s="119" t="s">
        <v>1206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>
      <c r="A54" s="120" t="s">
        <v>1207</v>
      </c>
      <c r="B54" s="121" t="s">
        <v>1208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>
      <c r="A55" s="122" t="s">
        <v>1209</v>
      </c>
      <c r="B55" s="123" t="s">
        <v>1210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>
      <c r="A56" s="124" t="s">
        <v>1211</v>
      </c>
      <c r="B56" s="125" t="s">
        <v>1212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08"/>
      <c r="B57" s="10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3">
      <c r="A58" s="109" t="s">
        <v>1213</v>
      </c>
      <c r="B58" s="10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2.75">
      <c r="A59" s="126" t="s">
        <v>1214</v>
      </c>
      <c r="B59" s="10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08"/>
      <c r="B60" s="10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27" t="s">
        <v>1215</v>
      </c>
      <c r="B61" s="128" t="s">
        <v>1216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6" customHeight="1">
      <c r="A62" s="129" t="s">
        <v>1217</v>
      </c>
      <c r="B62" s="130" t="s">
        <v>1218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6" customHeight="1">
      <c r="A63" s="131" t="s">
        <v>1219</v>
      </c>
      <c r="B63" s="132" t="s">
        <v>1220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6" customHeight="1">
      <c r="A64" s="129" t="s">
        <v>1221</v>
      </c>
      <c r="B64" s="130" t="s">
        <v>1222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6" customHeight="1">
      <c r="A65" s="131" t="s">
        <v>1223</v>
      </c>
      <c r="B65" s="132" t="s">
        <v>1224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6" customHeight="1">
      <c r="A66" s="133" t="s">
        <v>1225</v>
      </c>
      <c r="B66" s="134" t="s">
        <v>1226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08"/>
      <c r="B67" s="10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">
      <c r="A68" s="109" t="s">
        <v>1227</v>
      </c>
      <c r="B68" s="10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08"/>
      <c r="B69" s="10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27" t="s">
        <v>1228</v>
      </c>
      <c r="B70" s="128" t="s">
        <v>1229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>
      <c r="A71" s="112" t="s">
        <v>1230</v>
      </c>
      <c r="B71" s="113" t="s">
        <v>1231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>
      <c r="A72" s="131" t="s">
        <v>1232</v>
      </c>
      <c r="B72" s="132" t="s">
        <v>1233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>
      <c r="A73" s="112" t="s">
        <v>1234</v>
      </c>
      <c r="B73" s="113" t="s">
        <v>1235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>
      <c r="A74" s="131" t="s">
        <v>774</v>
      </c>
      <c r="B74" s="132" t="s">
        <v>1236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>
      <c r="A75" s="135" t="s">
        <v>780</v>
      </c>
      <c r="B75" s="136" t="s">
        <v>1237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08"/>
      <c r="B76" s="10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3">
      <c r="A77" s="109" t="s">
        <v>1238</v>
      </c>
      <c r="B77" s="10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60" customHeight="1">
      <c r="A78" s="137" t="s">
        <v>1239</v>
      </c>
      <c r="B78" s="13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">
    <mergeCell ref="A35:B35"/>
    <mergeCell ref="A78:B78"/>
    <mergeCell ref="A1:D1"/>
    <mergeCell ref="F1:H1"/>
    <mergeCell ref="A12:B12"/>
    <mergeCell ref="A17:B17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W82"/>
  <sheetViews>
    <sheetView topLeftCell="E51" workbookViewId="0">
      <pane ySplit="1" topLeftCell="A52" activePane="bottomLeft" state="frozen"/>
      <selection activeCell="E51" sqref="E51"/>
      <selection pane="bottomLeft"/>
    </sheetView>
  </sheetViews>
  <sheetFormatPr defaultRowHeight="14.25" outlineLevelCol="1"/>
  <cols>
    <col min="1" max="1" width="18.375" customWidth="1"/>
    <col min="2" max="2" width="34" customWidth="1"/>
    <col min="3" max="3" width="36" customWidth="1"/>
    <col min="4" max="6" width="18" customWidth="1"/>
    <col min="7" max="8" width="12" customWidth="1"/>
    <col min="9" max="10" width="20" customWidth="1"/>
    <col min="11" max="11" width="22" customWidth="1"/>
    <col min="12" max="12" width="24" customWidth="1"/>
    <col min="13" max="19" width="12" customWidth="1"/>
    <col min="20" max="20" width="10" customWidth="1"/>
    <col min="21" max="21" width="14" customWidth="1"/>
    <col min="22" max="24" width="10" customWidth="1"/>
    <col min="25" max="26" width="13.625" customWidth="1"/>
    <col min="27" max="27" width="12" customWidth="1"/>
    <col min="28" max="28" width="14" customWidth="1"/>
    <col min="29" max="29" width="18" customWidth="1"/>
    <col min="30" max="31" width="12" customWidth="1"/>
    <col min="32" max="33" width="18" customWidth="1"/>
    <col min="34" max="34" width="22" customWidth="1"/>
    <col min="35" max="35" width="14" customWidth="1"/>
    <col min="36" max="37" width="36" customWidth="1" outlineLevel="1"/>
    <col min="38" max="39" width="32" customWidth="1" outlineLevel="1"/>
    <col min="40" max="40" width="28" customWidth="1" outlineLevel="1"/>
    <col min="41" max="41" width="12" customWidth="1"/>
    <col min="42" max="43" width="10" customWidth="1"/>
    <col min="44" max="45" width="12" customWidth="1"/>
    <col min="48" max="48" width="14.625" customWidth="1"/>
    <col min="49" max="49" width="15.375" customWidth="1"/>
  </cols>
  <sheetData>
    <row r="1" spans="1:49" ht="42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8" t="s">
        <v>822</v>
      </c>
    </row>
    <row r="2" spans="1:49" s="51" customFormat="1" ht="30" customHeight="1">
      <c r="A2" s="51" t="s">
        <v>68</v>
      </c>
      <c r="B2" s="51" t="s">
        <v>69</v>
      </c>
      <c r="C2" s="51" t="s">
        <v>70</v>
      </c>
      <c r="D2" s="51" t="s">
        <v>71</v>
      </c>
      <c r="E2" s="51" t="s">
        <v>72</v>
      </c>
      <c r="F2" s="51" t="s">
        <v>73</v>
      </c>
      <c r="G2" s="51" t="s">
        <v>74</v>
      </c>
      <c r="H2" s="51" t="s">
        <v>75</v>
      </c>
      <c r="I2" s="51" t="s">
        <v>76</v>
      </c>
      <c r="J2" s="51" t="s">
        <v>77</v>
      </c>
      <c r="K2" s="51" t="s">
        <v>78</v>
      </c>
      <c r="L2" s="51" t="s">
        <v>79</v>
      </c>
      <c r="M2" s="52">
        <v>45717</v>
      </c>
      <c r="N2" s="52">
        <v>46128</v>
      </c>
      <c r="O2" s="52">
        <v>46128</v>
      </c>
      <c r="P2" s="52" t="s">
        <v>80</v>
      </c>
      <c r="Q2" s="52">
        <v>46493</v>
      </c>
      <c r="R2" s="51" t="s">
        <v>81</v>
      </c>
      <c r="S2" s="51" t="s">
        <v>82</v>
      </c>
      <c r="T2" s="51" t="s">
        <v>83</v>
      </c>
      <c r="U2" s="51" t="s">
        <v>84</v>
      </c>
      <c r="V2" s="53">
        <v>5</v>
      </c>
      <c r="W2" s="53">
        <v>4</v>
      </c>
      <c r="X2" s="53">
        <v>5</v>
      </c>
      <c r="Y2" s="53">
        <f t="shared" ref="Y2:Y33" si="0">V2+W2+X2</f>
        <v>14</v>
      </c>
      <c r="Z2" s="51" t="s">
        <v>85</v>
      </c>
      <c r="AA2" s="51" t="s">
        <v>83</v>
      </c>
      <c r="AB2" s="51" t="s">
        <v>805</v>
      </c>
      <c r="AC2" s="51" t="s">
        <v>87</v>
      </c>
      <c r="AD2" s="54" t="b">
        <v>1</v>
      </c>
      <c r="AE2" s="51" t="s">
        <v>83</v>
      </c>
      <c r="AF2" s="51" t="s">
        <v>88</v>
      </c>
      <c r="AG2" s="51" t="s">
        <v>89</v>
      </c>
      <c r="AK2" s="51" t="s">
        <v>90</v>
      </c>
      <c r="AL2" s="51" t="s">
        <v>91</v>
      </c>
      <c r="AM2" s="51" t="s">
        <v>92</v>
      </c>
      <c r="AN2" s="51" t="s">
        <v>93</v>
      </c>
      <c r="AO2" s="55" t="s">
        <v>94</v>
      </c>
      <c r="AP2" s="55" t="s">
        <v>95</v>
      </c>
      <c r="AQ2" s="55" t="s">
        <v>96</v>
      </c>
      <c r="AR2" s="56" t="b">
        <v>1</v>
      </c>
      <c r="AS2" s="54" t="b">
        <v>1</v>
      </c>
      <c r="AT2" s="54" t="b">
        <v>0</v>
      </c>
      <c r="AU2" s="51" t="s">
        <v>97</v>
      </c>
      <c r="AV2" s="51" t="str">
        <f t="shared" ref="AV2:AV33" ca="1" si="1">IF(AND(Q2&lt;&gt;"",Q2&lt;=TODAY()),"Due","")</f>
        <v/>
      </c>
      <c r="AW2" s="57" t="s">
        <v>823</v>
      </c>
    </row>
    <row r="3" spans="1:49" s="51" customFormat="1" ht="30" customHeight="1">
      <c r="A3" s="51" t="s">
        <v>98</v>
      </c>
      <c r="B3" s="51" t="s">
        <v>99</v>
      </c>
      <c r="C3" s="51" t="s">
        <v>100</v>
      </c>
      <c r="D3" s="51" t="s">
        <v>71</v>
      </c>
      <c r="E3" s="51" t="s">
        <v>72</v>
      </c>
      <c r="F3" s="51" t="s">
        <v>73</v>
      </c>
      <c r="G3" s="51" t="s">
        <v>74</v>
      </c>
      <c r="H3" s="51" t="s">
        <v>75</v>
      </c>
      <c r="I3" s="51" t="s">
        <v>76</v>
      </c>
      <c r="J3" s="51" t="s">
        <v>77</v>
      </c>
      <c r="K3" s="51" t="s">
        <v>78</v>
      </c>
      <c r="L3" s="51" t="s">
        <v>79</v>
      </c>
      <c r="M3" s="52">
        <v>45352</v>
      </c>
      <c r="N3" s="52">
        <v>46128</v>
      </c>
      <c r="O3" s="52">
        <v>46128</v>
      </c>
      <c r="P3" s="52" t="s">
        <v>80</v>
      </c>
      <c r="Q3" s="52">
        <v>46493</v>
      </c>
      <c r="R3" s="51" t="s">
        <v>101</v>
      </c>
      <c r="S3" s="51" t="s">
        <v>102</v>
      </c>
      <c r="T3" s="51" t="s">
        <v>83</v>
      </c>
      <c r="U3" s="51" t="s">
        <v>84</v>
      </c>
      <c r="V3" s="53">
        <v>4</v>
      </c>
      <c r="W3" s="53">
        <v>3</v>
      </c>
      <c r="X3" s="53">
        <v>4</v>
      </c>
      <c r="Y3" s="53">
        <f t="shared" si="0"/>
        <v>11</v>
      </c>
      <c r="Z3" s="51" t="s">
        <v>103</v>
      </c>
      <c r="AA3" s="51" t="s">
        <v>82</v>
      </c>
      <c r="AB3" s="51" t="s">
        <v>86</v>
      </c>
      <c r="AC3" s="51" t="s">
        <v>104</v>
      </c>
      <c r="AD3" s="54" t="b">
        <v>0</v>
      </c>
      <c r="AE3" s="51" t="s">
        <v>82</v>
      </c>
      <c r="AF3" s="51" t="s">
        <v>88</v>
      </c>
      <c r="AG3" s="51" t="s">
        <v>89</v>
      </c>
      <c r="AK3" s="51" t="s">
        <v>90</v>
      </c>
      <c r="AL3" s="51" t="s">
        <v>91</v>
      </c>
      <c r="AM3" s="51" t="s">
        <v>105</v>
      </c>
      <c r="AN3" s="51" t="s">
        <v>106</v>
      </c>
      <c r="AO3" s="55" t="s">
        <v>107</v>
      </c>
      <c r="AP3" s="55" t="s">
        <v>108</v>
      </c>
      <c r="AQ3" s="55" t="s">
        <v>109</v>
      </c>
      <c r="AR3" s="56" t="b">
        <v>1</v>
      </c>
      <c r="AS3" s="54" t="b">
        <v>0</v>
      </c>
      <c r="AT3" s="54" t="b">
        <v>0</v>
      </c>
      <c r="AU3" s="51" t="s">
        <v>97</v>
      </c>
      <c r="AV3" s="51" t="str">
        <f t="shared" ca="1" si="1"/>
        <v/>
      </c>
      <c r="AW3" s="58" t="s">
        <v>823</v>
      </c>
    </row>
    <row r="4" spans="1:49" s="51" customFormat="1" ht="30" customHeight="1">
      <c r="A4" s="51" t="s">
        <v>110</v>
      </c>
      <c r="B4" s="51" t="s">
        <v>111</v>
      </c>
      <c r="C4" s="51" t="s">
        <v>112</v>
      </c>
      <c r="D4" s="51" t="s">
        <v>71</v>
      </c>
      <c r="E4" s="51" t="s">
        <v>72</v>
      </c>
      <c r="F4" s="51" t="s">
        <v>113</v>
      </c>
      <c r="G4" s="51" t="s">
        <v>74</v>
      </c>
      <c r="H4" s="51" t="s">
        <v>75</v>
      </c>
      <c r="I4" s="51" t="s">
        <v>76</v>
      </c>
      <c r="J4" s="51" t="s">
        <v>114</v>
      </c>
      <c r="K4" s="51" t="s">
        <v>78</v>
      </c>
      <c r="L4" s="51" t="s">
        <v>115</v>
      </c>
      <c r="M4" s="52">
        <v>46037</v>
      </c>
      <c r="N4" s="52">
        <v>46128</v>
      </c>
      <c r="O4" s="52">
        <v>46128</v>
      </c>
      <c r="P4" s="52" t="s">
        <v>116</v>
      </c>
      <c r="Q4" s="52">
        <v>46219</v>
      </c>
      <c r="R4" s="51" t="s">
        <v>81</v>
      </c>
      <c r="S4" s="51" t="s">
        <v>82</v>
      </c>
      <c r="T4" s="51" t="s">
        <v>83</v>
      </c>
      <c r="U4" s="51" t="s">
        <v>84</v>
      </c>
      <c r="V4" s="53">
        <v>5</v>
      </c>
      <c r="W4" s="53">
        <v>5</v>
      </c>
      <c r="X4" s="53">
        <v>5</v>
      </c>
      <c r="Y4" s="53">
        <f t="shared" si="0"/>
        <v>15</v>
      </c>
      <c r="Z4" s="51" t="s">
        <v>85</v>
      </c>
      <c r="AA4" s="51" t="s">
        <v>83</v>
      </c>
      <c r="AB4" s="51" t="s">
        <v>86</v>
      </c>
      <c r="AC4" s="51" t="s">
        <v>87</v>
      </c>
      <c r="AD4" s="54" t="b">
        <v>1</v>
      </c>
      <c r="AE4" s="51" t="s">
        <v>83</v>
      </c>
      <c r="AF4" s="51" t="s">
        <v>117</v>
      </c>
      <c r="AG4" s="51" t="s">
        <v>118</v>
      </c>
      <c r="AK4" s="51" t="s">
        <v>119</v>
      </c>
      <c r="AL4" s="51" t="s">
        <v>91</v>
      </c>
      <c r="AM4" s="51" t="s">
        <v>120</v>
      </c>
      <c r="AN4" s="51" t="s">
        <v>121</v>
      </c>
      <c r="AO4" s="55" t="s">
        <v>122</v>
      </c>
      <c r="AP4" s="55" t="s">
        <v>123</v>
      </c>
      <c r="AQ4" s="55" t="s">
        <v>124</v>
      </c>
      <c r="AR4" s="56" t="b">
        <v>1</v>
      </c>
      <c r="AS4" s="54" t="b">
        <v>1</v>
      </c>
      <c r="AT4" s="54" t="b">
        <v>0</v>
      </c>
      <c r="AU4" s="51" t="s">
        <v>97</v>
      </c>
      <c r="AV4" s="51" t="str">
        <f t="shared" ca="1" si="1"/>
        <v/>
      </c>
      <c r="AW4" s="58" t="s">
        <v>823</v>
      </c>
    </row>
    <row r="5" spans="1:49" s="51" customFormat="1" ht="30" customHeight="1">
      <c r="A5" s="51" t="s">
        <v>125</v>
      </c>
      <c r="B5" s="51" t="s">
        <v>126</v>
      </c>
      <c r="C5" s="51" t="s">
        <v>127</v>
      </c>
      <c r="D5" s="51" t="s">
        <v>71</v>
      </c>
      <c r="E5" s="51" t="s">
        <v>72</v>
      </c>
      <c r="F5" s="51" t="s">
        <v>113</v>
      </c>
      <c r="G5" s="51" t="s">
        <v>74</v>
      </c>
      <c r="H5" s="51" t="s">
        <v>75</v>
      </c>
      <c r="I5" s="51" t="s">
        <v>76</v>
      </c>
      <c r="J5" s="51" t="s">
        <v>128</v>
      </c>
      <c r="K5" s="51" t="s">
        <v>78</v>
      </c>
      <c r="L5" s="51" t="s">
        <v>129</v>
      </c>
      <c r="M5" s="52">
        <v>46037</v>
      </c>
      <c r="N5" s="52">
        <v>46128</v>
      </c>
      <c r="O5" s="52">
        <v>46128</v>
      </c>
      <c r="P5" s="52" t="s">
        <v>116</v>
      </c>
      <c r="Q5" s="52">
        <v>46219</v>
      </c>
      <c r="R5" s="51" t="s">
        <v>81</v>
      </c>
      <c r="S5" s="51" t="s">
        <v>82</v>
      </c>
      <c r="T5" s="51" t="s">
        <v>83</v>
      </c>
      <c r="U5" s="51" t="s">
        <v>84</v>
      </c>
      <c r="V5" s="53">
        <v>5</v>
      </c>
      <c r="W5" s="53">
        <v>4</v>
      </c>
      <c r="X5" s="53">
        <v>4</v>
      </c>
      <c r="Y5" s="53">
        <f t="shared" si="0"/>
        <v>13</v>
      </c>
      <c r="Z5" s="51" t="s">
        <v>85</v>
      </c>
      <c r="AA5" s="51" t="s">
        <v>83</v>
      </c>
      <c r="AB5" s="51" t="s">
        <v>130</v>
      </c>
      <c r="AC5" s="51" t="s">
        <v>104</v>
      </c>
      <c r="AD5" s="54" t="b">
        <v>0</v>
      </c>
      <c r="AE5" s="51" t="s">
        <v>82</v>
      </c>
      <c r="AF5" s="51" t="s">
        <v>117</v>
      </c>
      <c r="AG5" s="51" t="s">
        <v>118</v>
      </c>
      <c r="AK5" s="51" t="s">
        <v>119</v>
      </c>
      <c r="AL5" s="51" t="s">
        <v>91</v>
      </c>
      <c r="AM5" s="51" t="s">
        <v>131</v>
      </c>
      <c r="AN5" s="51" t="s">
        <v>132</v>
      </c>
      <c r="AO5" s="55" t="s">
        <v>133</v>
      </c>
      <c r="AP5" s="55" t="s">
        <v>134</v>
      </c>
      <c r="AQ5" s="55" t="s">
        <v>135</v>
      </c>
      <c r="AR5" s="56" t="b">
        <v>1</v>
      </c>
      <c r="AS5" s="54" t="b">
        <v>1</v>
      </c>
      <c r="AT5" s="54" t="b">
        <v>0</v>
      </c>
      <c r="AU5" s="51" t="s">
        <v>97</v>
      </c>
      <c r="AV5" s="51" t="str">
        <f t="shared" ca="1" si="1"/>
        <v/>
      </c>
      <c r="AW5" s="58" t="s">
        <v>823</v>
      </c>
    </row>
    <row r="6" spans="1:49" s="51" customFormat="1" ht="30" customHeight="1">
      <c r="A6" s="51" t="s">
        <v>136</v>
      </c>
      <c r="B6" s="51" t="s">
        <v>137</v>
      </c>
      <c r="C6" s="51" t="s">
        <v>138</v>
      </c>
      <c r="D6" s="51" t="s">
        <v>71</v>
      </c>
      <c r="E6" s="51" t="s">
        <v>72</v>
      </c>
      <c r="F6" s="51" t="s">
        <v>139</v>
      </c>
      <c r="G6" s="51" t="s">
        <v>74</v>
      </c>
      <c r="H6" s="51" t="s">
        <v>75</v>
      </c>
      <c r="I6" s="51" t="s">
        <v>76</v>
      </c>
      <c r="J6" s="51" t="s">
        <v>114</v>
      </c>
      <c r="K6" s="51" t="s">
        <v>140</v>
      </c>
      <c r="L6" s="51" t="s">
        <v>129</v>
      </c>
      <c r="M6" s="52">
        <v>46113</v>
      </c>
      <c r="N6" s="52">
        <v>46128</v>
      </c>
      <c r="O6" s="52">
        <v>46128</v>
      </c>
      <c r="P6" s="52" t="s">
        <v>116</v>
      </c>
      <c r="Q6" s="52">
        <v>46219</v>
      </c>
      <c r="R6" s="51" t="s">
        <v>81</v>
      </c>
      <c r="S6" s="51" t="s">
        <v>82</v>
      </c>
      <c r="T6" s="51" t="s">
        <v>83</v>
      </c>
      <c r="U6" s="51" t="s">
        <v>84</v>
      </c>
      <c r="V6" s="53">
        <v>5</v>
      </c>
      <c r="W6" s="53">
        <v>5</v>
      </c>
      <c r="X6" s="53">
        <v>5</v>
      </c>
      <c r="Y6" s="53">
        <f t="shared" si="0"/>
        <v>15</v>
      </c>
      <c r="Z6" s="51" t="s">
        <v>141</v>
      </c>
      <c r="AA6" s="51" t="s">
        <v>83</v>
      </c>
      <c r="AB6" s="51" t="s">
        <v>805</v>
      </c>
      <c r="AC6" s="51" t="s">
        <v>87</v>
      </c>
      <c r="AD6" s="54" t="b">
        <v>1</v>
      </c>
      <c r="AE6" s="51" t="s">
        <v>83</v>
      </c>
      <c r="AF6" s="51" t="s">
        <v>88</v>
      </c>
      <c r="AG6" s="51" t="s">
        <v>89</v>
      </c>
      <c r="AK6" s="51" t="s">
        <v>142</v>
      </c>
      <c r="AL6" s="51" t="s">
        <v>91</v>
      </c>
      <c r="AM6" s="51" t="s">
        <v>143</v>
      </c>
      <c r="AN6" s="51" t="s">
        <v>144</v>
      </c>
      <c r="AO6" s="55" t="s">
        <v>145</v>
      </c>
      <c r="AP6" s="55" t="s">
        <v>146</v>
      </c>
      <c r="AQ6" s="55" t="s">
        <v>147</v>
      </c>
      <c r="AR6" s="56" t="b">
        <v>1</v>
      </c>
      <c r="AS6" s="54" t="b">
        <v>1</v>
      </c>
      <c r="AT6" s="54" t="b">
        <v>0</v>
      </c>
      <c r="AU6" s="51" t="s">
        <v>97</v>
      </c>
      <c r="AV6" s="51" t="str">
        <f t="shared" ca="1" si="1"/>
        <v/>
      </c>
      <c r="AW6" s="58" t="s">
        <v>85</v>
      </c>
    </row>
    <row r="7" spans="1:49" s="51" customFormat="1" ht="30" customHeight="1">
      <c r="A7" s="51" t="s">
        <v>148</v>
      </c>
      <c r="B7" s="51" t="s">
        <v>149</v>
      </c>
      <c r="C7" s="51" t="s">
        <v>150</v>
      </c>
      <c r="D7" s="51" t="s">
        <v>71</v>
      </c>
      <c r="E7" s="51" t="s">
        <v>72</v>
      </c>
      <c r="F7" s="51" t="s">
        <v>139</v>
      </c>
      <c r="G7" s="51" t="s">
        <v>74</v>
      </c>
      <c r="H7" s="51" t="s">
        <v>75</v>
      </c>
      <c r="I7" s="51" t="s">
        <v>76</v>
      </c>
      <c r="J7" s="51" t="s">
        <v>114</v>
      </c>
      <c r="K7" s="51" t="s">
        <v>151</v>
      </c>
      <c r="L7" s="51" t="s">
        <v>129</v>
      </c>
      <c r="M7" s="52">
        <v>46032</v>
      </c>
      <c r="N7" s="52">
        <v>46128</v>
      </c>
      <c r="O7" s="52">
        <v>46128</v>
      </c>
      <c r="P7" s="52" t="s">
        <v>116</v>
      </c>
      <c r="Q7" s="52">
        <v>46219</v>
      </c>
      <c r="R7" s="51" t="s">
        <v>81</v>
      </c>
      <c r="S7" s="51" t="s">
        <v>82</v>
      </c>
      <c r="T7" s="51" t="s">
        <v>83</v>
      </c>
      <c r="U7" s="51" t="s">
        <v>84</v>
      </c>
      <c r="V7" s="53">
        <v>4</v>
      </c>
      <c r="W7" s="53">
        <v>4</v>
      </c>
      <c r="X7" s="53">
        <v>5</v>
      </c>
      <c r="Y7" s="53">
        <f t="shared" si="0"/>
        <v>13</v>
      </c>
      <c r="Z7" s="51" t="s">
        <v>103</v>
      </c>
      <c r="AA7" s="51" t="s">
        <v>82</v>
      </c>
      <c r="AB7" s="51" t="s">
        <v>86</v>
      </c>
      <c r="AC7" s="51" t="s">
        <v>104</v>
      </c>
      <c r="AD7" s="54" t="b">
        <v>0</v>
      </c>
      <c r="AE7" s="51" t="s">
        <v>82</v>
      </c>
      <c r="AF7" s="51" t="s">
        <v>88</v>
      </c>
      <c r="AG7" s="51" t="s">
        <v>89</v>
      </c>
      <c r="AK7" s="51" t="s">
        <v>142</v>
      </c>
      <c r="AL7" s="51" t="s">
        <v>91</v>
      </c>
      <c r="AM7" s="51" t="s">
        <v>152</v>
      </c>
      <c r="AN7" s="51" t="s">
        <v>153</v>
      </c>
      <c r="AO7" s="55" t="s">
        <v>154</v>
      </c>
      <c r="AP7" s="55" t="s">
        <v>155</v>
      </c>
      <c r="AQ7" s="55" t="s">
        <v>156</v>
      </c>
      <c r="AR7" s="56" t="b">
        <v>1</v>
      </c>
      <c r="AS7" s="54" t="b">
        <v>0</v>
      </c>
      <c r="AT7" s="54" t="b">
        <v>0</v>
      </c>
      <c r="AU7" s="51" t="s">
        <v>97</v>
      </c>
      <c r="AV7" s="51" t="str">
        <f t="shared" ca="1" si="1"/>
        <v/>
      </c>
      <c r="AW7" s="58" t="s">
        <v>85</v>
      </c>
    </row>
    <row r="8" spans="1:49" s="51" customFormat="1" ht="30" customHeight="1">
      <c r="A8" s="51" t="s">
        <v>157</v>
      </c>
      <c r="B8" s="51" t="s">
        <v>158</v>
      </c>
      <c r="C8" s="51" t="s">
        <v>159</v>
      </c>
      <c r="D8" s="51" t="s">
        <v>71</v>
      </c>
      <c r="E8" s="51" t="s">
        <v>72</v>
      </c>
      <c r="F8" s="51" t="s">
        <v>160</v>
      </c>
      <c r="G8" s="51" t="s">
        <v>74</v>
      </c>
      <c r="H8" s="51" t="s">
        <v>75</v>
      </c>
      <c r="I8" s="51" t="s">
        <v>76</v>
      </c>
      <c r="J8" s="51" t="s">
        <v>161</v>
      </c>
      <c r="K8" s="51" t="s">
        <v>140</v>
      </c>
      <c r="L8" s="51" t="s">
        <v>162</v>
      </c>
      <c r="M8" s="52">
        <v>46096</v>
      </c>
      <c r="N8" s="52">
        <v>46128</v>
      </c>
      <c r="O8" s="52">
        <v>46128</v>
      </c>
      <c r="P8" s="52" t="s">
        <v>116</v>
      </c>
      <c r="Q8" s="52">
        <v>46219</v>
      </c>
      <c r="R8" s="51" t="s">
        <v>81</v>
      </c>
      <c r="S8" s="51" t="s">
        <v>82</v>
      </c>
      <c r="T8" s="51" t="s">
        <v>82</v>
      </c>
      <c r="U8" s="51" t="s">
        <v>163</v>
      </c>
      <c r="V8" s="53">
        <v>4</v>
      </c>
      <c r="W8" s="53">
        <v>4</v>
      </c>
      <c r="X8" s="53">
        <v>4</v>
      </c>
      <c r="Y8" s="53">
        <f t="shared" si="0"/>
        <v>12</v>
      </c>
      <c r="Z8" s="51" t="s">
        <v>141</v>
      </c>
      <c r="AA8" s="51" t="s">
        <v>83</v>
      </c>
      <c r="AB8" s="51" t="s">
        <v>130</v>
      </c>
      <c r="AC8" s="51" t="s">
        <v>104</v>
      </c>
      <c r="AD8" s="54" t="b">
        <v>0</v>
      </c>
      <c r="AE8" s="51" t="s">
        <v>82</v>
      </c>
      <c r="AF8" s="51" t="s">
        <v>88</v>
      </c>
      <c r="AG8" s="51" t="s">
        <v>118</v>
      </c>
      <c r="AK8" s="51" t="s">
        <v>164</v>
      </c>
      <c r="AL8" s="51" t="s">
        <v>91</v>
      </c>
      <c r="AM8" s="51" t="s">
        <v>165</v>
      </c>
      <c r="AN8" s="51" t="s">
        <v>166</v>
      </c>
      <c r="AO8" s="55" t="s">
        <v>167</v>
      </c>
      <c r="AP8" s="55" t="s">
        <v>168</v>
      </c>
      <c r="AQ8" s="55" t="s">
        <v>169</v>
      </c>
      <c r="AR8" s="56" t="b">
        <v>1</v>
      </c>
      <c r="AS8" s="54" t="b">
        <v>1</v>
      </c>
      <c r="AT8" s="54" t="b">
        <v>0</v>
      </c>
      <c r="AU8" s="51" t="s">
        <v>82</v>
      </c>
      <c r="AV8" s="51" t="str">
        <f t="shared" ca="1" si="1"/>
        <v/>
      </c>
      <c r="AW8" s="58" t="s">
        <v>85</v>
      </c>
    </row>
    <row r="9" spans="1:49" s="51" customFormat="1" ht="30" customHeight="1">
      <c r="A9" s="51" t="s">
        <v>170</v>
      </c>
      <c r="B9" s="51" t="s">
        <v>171</v>
      </c>
      <c r="C9" s="51" t="s">
        <v>172</v>
      </c>
      <c r="D9" s="51" t="s">
        <v>71</v>
      </c>
      <c r="E9" s="51" t="s">
        <v>72</v>
      </c>
      <c r="F9" s="51" t="s">
        <v>160</v>
      </c>
      <c r="G9" s="51" t="s">
        <v>74</v>
      </c>
      <c r="H9" s="51" t="s">
        <v>75</v>
      </c>
      <c r="I9" s="51" t="s">
        <v>76</v>
      </c>
      <c r="J9" s="51" t="s">
        <v>161</v>
      </c>
      <c r="K9" s="51" t="s">
        <v>151</v>
      </c>
      <c r="L9" s="51" t="s">
        <v>162</v>
      </c>
      <c r="M9" s="52">
        <v>46006</v>
      </c>
      <c r="N9" s="52">
        <v>46128</v>
      </c>
      <c r="O9" s="52"/>
      <c r="P9" s="52" t="s">
        <v>116</v>
      </c>
      <c r="Q9" s="52">
        <v>46219</v>
      </c>
      <c r="R9" s="51" t="s">
        <v>81</v>
      </c>
      <c r="S9" s="51" t="s">
        <v>82</v>
      </c>
      <c r="T9" s="51" t="s">
        <v>82</v>
      </c>
      <c r="U9" s="51" t="s">
        <v>163</v>
      </c>
      <c r="V9" s="53">
        <v>3</v>
      </c>
      <c r="W9" s="53">
        <v>3</v>
      </c>
      <c r="X9" s="53">
        <v>4</v>
      </c>
      <c r="Y9" s="53">
        <f t="shared" si="0"/>
        <v>10</v>
      </c>
      <c r="Z9" s="51" t="s">
        <v>103</v>
      </c>
      <c r="AA9" s="51" t="s">
        <v>82</v>
      </c>
      <c r="AB9" s="51" t="s">
        <v>173</v>
      </c>
      <c r="AC9" s="51" t="s">
        <v>104</v>
      </c>
      <c r="AD9" s="54" t="b">
        <v>0</v>
      </c>
      <c r="AE9" s="51" t="s">
        <v>82</v>
      </c>
      <c r="AF9" s="51" t="s">
        <v>88</v>
      </c>
      <c r="AG9" s="51" t="s">
        <v>118</v>
      </c>
      <c r="AK9" s="51" t="s">
        <v>164</v>
      </c>
      <c r="AL9" s="51" t="s">
        <v>91</v>
      </c>
      <c r="AM9" s="51" t="s">
        <v>174</v>
      </c>
      <c r="AN9" s="51" t="s">
        <v>175</v>
      </c>
      <c r="AO9" s="55" t="s">
        <v>176</v>
      </c>
      <c r="AP9" s="55" t="s">
        <v>177</v>
      </c>
      <c r="AQ9" s="55" t="s">
        <v>178</v>
      </c>
      <c r="AR9" s="56" t="b">
        <v>1</v>
      </c>
      <c r="AS9" s="54" t="b">
        <v>0</v>
      </c>
      <c r="AT9" s="54" t="b">
        <v>0</v>
      </c>
      <c r="AU9" s="51" t="s">
        <v>82</v>
      </c>
      <c r="AV9" s="51" t="str">
        <f t="shared" ca="1" si="1"/>
        <v/>
      </c>
      <c r="AW9" s="58" t="s">
        <v>85</v>
      </c>
    </row>
    <row r="10" spans="1:49" s="51" customFormat="1" ht="30" customHeight="1">
      <c r="A10" s="51" t="s">
        <v>179</v>
      </c>
      <c r="B10" s="51" t="s">
        <v>180</v>
      </c>
      <c r="C10" s="51" t="s">
        <v>181</v>
      </c>
      <c r="D10" s="51" t="s">
        <v>71</v>
      </c>
      <c r="E10" s="51" t="s">
        <v>72</v>
      </c>
      <c r="F10" s="51" t="s">
        <v>182</v>
      </c>
      <c r="G10" s="51" t="s">
        <v>74</v>
      </c>
      <c r="H10" s="51" t="s">
        <v>75</v>
      </c>
      <c r="I10" s="51" t="s">
        <v>76</v>
      </c>
      <c r="J10" s="51" t="s">
        <v>183</v>
      </c>
      <c r="K10" s="51" t="s">
        <v>140</v>
      </c>
      <c r="L10" s="51" t="s">
        <v>184</v>
      </c>
      <c r="M10" s="52">
        <v>45962</v>
      </c>
      <c r="N10" s="52">
        <v>46128</v>
      </c>
      <c r="O10" s="52">
        <v>46128</v>
      </c>
      <c r="P10" s="52" t="s">
        <v>80</v>
      </c>
      <c r="Q10" s="52">
        <v>46493</v>
      </c>
      <c r="R10" s="51" t="s">
        <v>81</v>
      </c>
      <c r="S10" s="51" t="s">
        <v>82</v>
      </c>
      <c r="T10" s="51" t="s">
        <v>83</v>
      </c>
      <c r="U10" s="51" t="s">
        <v>84</v>
      </c>
      <c r="V10" s="53">
        <v>5</v>
      </c>
      <c r="W10" s="53">
        <v>5</v>
      </c>
      <c r="X10" s="53">
        <v>4</v>
      </c>
      <c r="Y10" s="53">
        <f t="shared" si="0"/>
        <v>14</v>
      </c>
      <c r="Z10" s="51" t="s">
        <v>85</v>
      </c>
      <c r="AA10" s="51" t="s">
        <v>83</v>
      </c>
      <c r="AB10" s="51" t="s">
        <v>805</v>
      </c>
      <c r="AC10" s="51" t="s">
        <v>87</v>
      </c>
      <c r="AD10" s="54" t="b">
        <v>1</v>
      </c>
      <c r="AE10" s="51" t="s">
        <v>83</v>
      </c>
      <c r="AF10" s="51" t="s">
        <v>88</v>
      </c>
      <c r="AG10" s="51" t="s">
        <v>89</v>
      </c>
      <c r="AK10" s="51" t="s">
        <v>185</v>
      </c>
      <c r="AL10" s="51" t="s">
        <v>91</v>
      </c>
      <c r="AM10" s="51" t="s">
        <v>186</v>
      </c>
      <c r="AN10" s="51" t="s">
        <v>187</v>
      </c>
      <c r="AO10" s="55" t="s">
        <v>188</v>
      </c>
      <c r="AP10" s="55" t="s">
        <v>189</v>
      </c>
      <c r="AQ10" s="55" t="s">
        <v>190</v>
      </c>
      <c r="AR10" s="56" t="b">
        <v>1</v>
      </c>
      <c r="AS10" s="54" t="b">
        <v>1</v>
      </c>
      <c r="AT10" s="54" t="b">
        <v>0</v>
      </c>
      <c r="AU10" s="51" t="s">
        <v>97</v>
      </c>
      <c r="AV10" s="51" t="str">
        <f t="shared" ca="1" si="1"/>
        <v/>
      </c>
      <c r="AW10" s="58" t="s">
        <v>85</v>
      </c>
    </row>
    <row r="11" spans="1:49" s="51" customFormat="1" ht="30" customHeight="1">
      <c r="A11" s="51" t="s">
        <v>191</v>
      </c>
      <c r="B11" s="51" t="s">
        <v>192</v>
      </c>
      <c r="C11" s="51" t="s">
        <v>193</v>
      </c>
      <c r="D11" s="51" t="s">
        <v>71</v>
      </c>
      <c r="E11" s="51" t="s">
        <v>72</v>
      </c>
      <c r="F11" s="51" t="s">
        <v>194</v>
      </c>
      <c r="G11" s="51" t="s">
        <v>74</v>
      </c>
      <c r="H11" s="51" t="s">
        <v>75</v>
      </c>
      <c r="I11" s="51" t="s">
        <v>76</v>
      </c>
      <c r="J11" s="51" t="s">
        <v>114</v>
      </c>
      <c r="K11" s="51" t="s">
        <v>78</v>
      </c>
      <c r="L11" s="51" t="s">
        <v>195</v>
      </c>
      <c r="M11" s="52">
        <v>45823</v>
      </c>
      <c r="N11" s="52">
        <v>46128</v>
      </c>
      <c r="O11" s="52">
        <v>46128</v>
      </c>
      <c r="P11" s="52" t="s">
        <v>80</v>
      </c>
      <c r="Q11" s="52">
        <v>46493</v>
      </c>
      <c r="R11" s="51" t="s">
        <v>81</v>
      </c>
      <c r="S11" s="51" t="s">
        <v>82</v>
      </c>
      <c r="T11" s="51" t="s">
        <v>83</v>
      </c>
      <c r="U11" s="51" t="s">
        <v>84</v>
      </c>
      <c r="V11" s="53">
        <v>4</v>
      </c>
      <c r="W11" s="53">
        <v>4</v>
      </c>
      <c r="X11" s="53">
        <v>4</v>
      </c>
      <c r="Y11" s="53">
        <f t="shared" si="0"/>
        <v>12</v>
      </c>
      <c r="Z11" s="51" t="s">
        <v>85</v>
      </c>
      <c r="AA11" s="51" t="s">
        <v>82</v>
      </c>
      <c r="AB11" s="51" t="s">
        <v>86</v>
      </c>
      <c r="AC11" s="51" t="s">
        <v>104</v>
      </c>
      <c r="AD11" s="54" t="b">
        <v>0</v>
      </c>
      <c r="AE11" s="51" t="s">
        <v>82</v>
      </c>
      <c r="AF11" s="51" t="s">
        <v>117</v>
      </c>
      <c r="AG11" s="51" t="s">
        <v>118</v>
      </c>
      <c r="AK11" s="51" t="s">
        <v>196</v>
      </c>
      <c r="AL11" s="51" t="s">
        <v>91</v>
      </c>
      <c r="AM11" s="51" t="s">
        <v>197</v>
      </c>
      <c r="AN11" s="51" t="s">
        <v>198</v>
      </c>
      <c r="AO11" s="55" t="s">
        <v>199</v>
      </c>
      <c r="AP11" s="55" t="s">
        <v>200</v>
      </c>
      <c r="AQ11" s="55" t="s">
        <v>201</v>
      </c>
      <c r="AR11" s="56" t="b">
        <v>1</v>
      </c>
      <c r="AS11" s="54" t="b">
        <v>1</v>
      </c>
      <c r="AT11" s="54" t="b">
        <v>0</v>
      </c>
      <c r="AU11" s="51" t="s">
        <v>97</v>
      </c>
      <c r="AV11" s="51" t="str">
        <f t="shared" ca="1" si="1"/>
        <v/>
      </c>
      <c r="AW11" s="58" t="s">
        <v>85</v>
      </c>
    </row>
    <row r="12" spans="1:49" s="51" customFormat="1" ht="30" customHeight="1">
      <c r="A12" s="51" t="s">
        <v>202</v>
      </c>
      <c r="B12" s="51" t="s">
        <v>203</v>
      </c>
      <c r="C12" s="51" t="s">
        <v>204</v>
      </c>
      <c r="D12" s="51" t="s">
        <v>71</v>
      </c>
      <c r="E12" s="51" t="s">
        <v>72</v>
      </c>
      <c r="F12" s="51" t="s">
        <v>206</v>
      </c>
      <c r="G12" s="51" t="s">
        <v>74</v>
      </c>
      <c r="H12" s="51" t="s">
        <v>75</v>
      </c>
      <c r="I12" s="51" t="s">
        <v>76</v>
      </c>
      <c r="J12" s="51" t="s">
        <v>77</v>
      </c>
      <c r="K12" s="51" t="s">
        <v>78</v>
      </c>
      <c r="L12" s="51" t="s">
        <v>195</v>
      </c>
      <c r="M12" s="52">
        <v>45992</v>
      </c>
      <c r="N12" s="52">
        <v>46128</v>
      </c>
      <c r="O12" s="52">
        <v>46128</v>
      </c>
      <c r="P12" s="52" t="s">
        <v>80</v>
      </c>
      <c r="Q12" s="52">
        <v>46493</v>
      </c>
      <c r="R12" s="51" t="s">
        <v>81</v>
      </c>
      <c r="S12" s="51" t="s">
        <v>82</v>
      </c>
      <c r="T12" s="51" t="s">
        <v>83</v>
      </c>
      <c r="U12" s="51" t="s">
        <v>84</v>
      </c>
      <c r="V12" s="53">
        <v>4</v>
      </c>
      <c r="W12" s="53">
        <v>3</v>
      </c>
      <c r="X12" s="53">
        <v>4</v>
      </c>
      <c r="Y12" s="53">
        <f t="shared" si="0"/>
        <v>11</v>
      </c>
      <c r="Z12" s="51" t="s">
        <v>85</v>
      </c>
      <c r="AA12" s="51" t="s">
        <v>82</v>
      </c>
      <c r="AB12" s="51" t="s">
        <v>86</v>
      </c>
      <c r="AC12" s="51" t="s">
        <v>104</v>
      </c>
      <c r="AD12" s="54" t="b">
        <v>0</v>
      </c>
      <c r="AE12" s="51" t="s">
        <v>82</v>
      </c>
      <c r="AF12" s="51" t="s">
        <v>88</v>
      </c>
      <c r="AG12" s="51" t="s">
        <v>89</v>
      </c>
      <c r="AK12" s="51" t="s">
        <v>207</v>
      </c>
      <c r="AL12" s="51" t="s">
        <v>91</v>
      </c>
      <c r="AM12" s="51" t="s">
        <v>208</v>
      </c>
      <c r="AN12" s="51" t="s">
        <v>209</v>
      </c>
      <c r="AO12" s="55" t="s">
        <v>210</v>
      </c>
      <c r="AP12" s="55" t="s">
        <v>211</v>
      </c>
      <c r="AQ12" s="55" t="s">
        <v>212</v>
      </c>
      <c r="AR12" s="56" t="b">
        <v>1</v>
      </c>
      <c r="AS12" s="54" t="b">
        <v>1</v>
      </c>
      <c r="AT12" s="54" t="b">
        <v>0</v>
      </c>
      <c r="AU12" s="51" t="s">
        <v>97</v>
      </c>
      <c r="AV12" s="51" t="str">
        <f t="shared" ca="1" si="1"/>
        <v/>
      </c>
      <c r="AW12" s="58" t="s">
        <v>823</v>
      </c>
    </row>
    <row r="13" spans="1:49" s="51" customFormat="1" ht="30" customHeight="1">
      <c r="A13" s="51" t="s">
        <v>213</v>
      </c>
      <c r="B13" s="51" t="s">
        <v>214</v>
      </c>
      <c r="C13" s="51" t="s">
        <v>215</v>
      </c>
      <c r="D13" s="51" t="s">
        <v>71</v>
      </c>
      <c r="E13" s="51" t="s">
        <v>72</v>
      </c>
      <c r="F13" s="51" t="s">
        <v>217</v>
      </c>
      <c r="G13" s="51" t="s">
        <v>74</v>
      </c>
      <c r="H13" s="51" t="s">
        <v>75</v>
      </c>
      <c r="I13" s="51" t="s">
        <v>76</v>
      </c>
      <c r="J13" s="51" t="s">
        <v>77</v>
      </c>
      <c r="K13" s="51" t="s">
        <v>78</v>
      </c>
      <c r="L13" s="51" t="s">
        <v>218</v>
      </c>
      <c r="M13" s="52">
        <v>45901</v>
      </c>
      <c r="N13" s="52">
        <v>46128</v>
      </c>
      <c r="O13" s="52">
        <v>46128</v>
      </c>
      <c r="P13" s="52" t="s">
        <v>80</v>
      </c>
      <c r="Q13" s="52">
        <v>46493</v>
      </c>
      <c r="R13" s="51" t="s">
        <v>81</v>
      </c>
      <c r="S13" s="51" t="s">
        <v>82</v>
      </c>
      <c r="T13" s="51" t="s">
        <v>82</v>
      </c>
      <c r="U13" s="51" t="s">
        <v>163</v>
      </c>
      <c r="V13" s="53">
        <v>3</v>
      </c>
      <c r="W13" s="53">
        <v>4</v>
      </c>
      <c r="X13" s="53">
        <v>3</v>
      </c>
      <c r="Y13" s="53">
        <f t="shared" si="0"/>
        <v>10</v>
      </c>
      <c r="Z13" s="51" t="s">
        <v>85</v>
      </c>
      <c r="AA13" s="51" t="s">
        <v>82</v>
      </c>
      <c r="AB13" s="51" t="s">
        <v>130</v>
      </c>
      <c r="AC13" s="51" t="s">
        <v>104</v>
      </c>
      <c r="AD13" s="54" t="b">
        <v>0</v>
      </c>
      <c r="AE13" s="51" t="s">
        <v>82</v>
      </c>
      <c r="AF13" s="51" t="s">
        <v>88</v>
      </c>
      <c r="AG13" s="51" t="s">
        <v>118</v>
      </c>
      <c r="AK13" s="51" t="s">
        <v>219</v>
      </c>
      <c r="AL13" s="51" t="s">
        <v>91</v>
      </c>
      <c r="AM13" s="51" t="s">
        <v>220</v>
      </c>
      <c r="AN13" s="51" t="s">
        <v>221</v>
      </c>
      <c r="AO13" s="55" t="s">
        <v>222</v>
      </c>
      <c r="AP13" s="55" t="s">
        <v>223</v>
      </c>
      <c r="AQ13" s="55" t="s">
        <v>224</v>
      </c>
      <c r="AR13" s="56" t="b">
        <v>1</v>
      </c>
      <c r="AS13" s="54" t="b">
        <v>0</v>
      </c>
      <c r="AT13" s="54" t="b">
        <v>0</v>
      </c>
      <c r="AU13" s="51" t="s">
        <v>82</v>
      </c>
      <c r="AV13" s="51" t="str">
        <f t="shared" ca="1" si="1"/>
        <v/>
      </c>
      <c r="AW13" s="58" t="s">
        <v>85</v>
      </c>
    </row>
    <row r="14" spans="1:49" s="51" customFormat="1" ht="30" customHeight="1">
      <c r="A14" s="51" t="s">
        <v>225</v>
      </c>
      <c r="B14" s="51" t="s">
        <v>226</v>
      </c>
      <c r="C14" s="51" t="s">
        <v>227</v>
      </c>
      <c r="D14" s="51" t="s">
        <v>71</v>
      </c>
      <c r="E14" s="51" t="s">
        <v>216</v>
      </c>
      <c r="F14" s="51" t="s">
        <v>228</v>
      </c>
      <c r="G14" s="51" t="s">
        <v>229</v>
      </c>
      <c r="H14" s="51" t="s">
        <v>230</v>
      </c>
      <c r="I14" s="51" t="s">
        <v>76</v>
      </c>
      <c r="J14" s="51" t="s">
        <v>128</v>
      </c>
      <c r="K14" s="51" t="s">
        <v>231</v>
      </c>
      <c r="L14" s="51" t="s">
        <v>232</v>
      </c>
      <c r="M14" s="52">
        <v>46027</v>
      </c>
      <c r="N14" s="52">
        <v>46128</v>
      </c>
      <c r="O14" s="52">
        <v>46128</v>
      </c>
      <c r="P14" s="52" t="s">
        <v>80</v>
      </c>
      <c r="Q14" s="52">
        <v>46493</v>
      </c>
      <c r="R14" s="51" t="s">
        <v>101</v>
      </c>
      <c r="S14" s="51" t="s">
        <v>102</v>
      </c>
      <c r="T14" s="51" t="s">
        <v>83</v>
      </c>
      <c r="U14" s="51" t="s">
        <v>84</v>
      </c>
      <c r="V14" s="53">
        <v>5</v>
      </c>
      <c r="W14" s="53">
        <v>5</v>
      </c>
      <c r="X14" s="53">
        <v>5</v>
      </c>
      <c r="Y14" s="53">
        <f t="shared" si="0"/>
        <v>15</v>
      </c>
      <c r="Z14" s="51" t="s">
        <v>85</v>
      </c>
      <c r="AA14" s="51" t="s">
        <v>83</v>
      </c>
      <c r="AB14" s="51" t="s">
        <v>805</v>
      </c>
      <c r="AC14" s="51" t="s">
        <v>233</v>
      </c>
      <c r="AD14" s="54" t="b">
        <v>1</v>
      </c>
      <c r="AE14" s="51" t="s">
        <v>234</v>
      </c>
      <c r="AF14" s="51" t="s">
        <v>235</v>
      </c>
      <c r="AG14" s="51" t="s">
        <v>118</v>
      </c>
      <c r="AK14" s="51" t="s">
        <v>236</v>
      </c>
      <c r="AL14" s="51" t="s">
        <v>91</v>
      </c>
      <c r="AM14" s="51" t="s">
        <v>237</v>
      </c>
      <c r="AN14" s="51" t="s">
        <v>238</v>
      </c>
      <c r="AO14" s="55" t="s">
        <v>239</v>
      </c>
      <c r="AP14" s="55" t="s">
        <v>240</v>
      </c>
      <c r="AQ14" s="55" t="s">
        <v>241</v>
      </c>
      <c r="AR14" s="56" t="b">
        <v>1</v>
      </c>
      <c r="AS14" s="54" t="b">
        <v>1</v>
      </c>
      <c r="AT14" s="54" t="b">
        <v>1</v>
      </c>
      <c r="AU14" s="51" t="s">
        <v>97</v>
      </c>
      <c r="AV14" s="51" t="str">
        <f t="shared" ca="1" si="1"/>
        <v/>
      </c>
      <c r="AW14" s="58" t="s">
        <v>85</v>
      </c>
    </row>
    <row r="15" spans="1:49" s="51" customFormat="1" ht="30" customHeight="1">
      <c r="A15" s="51" t="s">
        <v>242</v>
      </c>
      <c r="B15" s="51" t="s">
        <v>243</v>
      </c>
      <c r="C15" s="51" t="s">
        <v>244</v>
      </c>
      <c r="D15" s="51" t="s">
        <v>71</v>
      </c>
      <c r="E15" s="51" t="s">
        <v>216</v>
      </c>
      <c r="F15" s="51" t="s">
        <v>228</v>
      </c>
      <c r="G15" s="51" t="s">
        <v>229</v>
      </c>
      <c r="H15" s="51" t="s">
        <v>230</v>
      </c>
      <c r="I15" s="51" t="s">
        <v>76</v>
      </c>
      <c r="J15" s="51" t="s">
        <v>128</v>
      </c>
      <c r="K15" s="51" t="s">
        <v>231</v>
      </c>
      <c r="L15" s="51" t="s">
        <v>232</v>
      </c>
      <c r="M15" s="52">
        <v>45662</v>
      </c>
      <c r="N15" s="52">
        <v>46128</v>
      </c>
      <c r="O15" s="52">
        <v>46128</v>
      </c>
      <c r="P15" s="52" t="s">
        <v>80</v>
      </c>
      <c r="Q15" s="52">
        <v>46493</v>
      </c>
      <c r="R15" s="51" t="s">
        <v>101</v>
      </c>
      <c r="S15" s="51" t="s">
        <v>102</v>
      </c>
      <c r="T15" s="51" t="s">
        <v>83</v>
      </c>
      <c r="U15" s="51" t="s">
        <v>84</v>
      </c>
      <c r="V15" s="53">
        <v>4</v>
      </c>
      <c r="W15" s="53">
        <v>4</v>
      </c>
      <c r="X15" s="53">
        <v>5</v>
      </c>
      <c r="Y15" s="53">
        <f t="shared" si="0"/>
        <v>13</v>
      </c>
      <c r="Z15" s="51" t="s">
        <v>103</v>
      </c>
      <c r="AA15" s="51" t="s">
        <v>82</v>
      </c>
      <c r="AB15" s="51" t="s">
        <v>86</v>
      </c>
      <c r="AC15" s="51" t="s">
        <v>245</v>
      </c>
      <c r="AD15" s="54" t="b">
        <v>0</v>
      </c>
      <c r="AE15" s="51" t="s">
        <v>234</v>
      </c>
      <c r="AF15" s="51" t="s">
        <v>235</v>
      </c>
      <c r="AG15" s="51" t="s">
        <v>118</v>
      </c>
      <c r="AK15" s="51" t="s">
        <v>236</v>
      </c>
      <c r="AL15" s="51" t="s">
        <v>91</v>
      </c>
      <c r="AM15" s="51" t="s">
        <v>246</v>
      </c>
      <c r="AN15" s="51" t="s">
        <v>247</v>
      </c>
      <c r="AO15" s="55" t="s">
        <v>248</v>
      </c>
      <c r="AP15" s="55" t="s">
        <v>249</v>
      </c>
      <c r="AQ15" s="55" t="s">
        <v>250</v>
      </c>
      <c r="AR15" s="56" t="b">
        <v>1</v>
      </c>
      <c r="AS15" s="54" t="b">
        <v>1</v>
      </c>
      <c r="AT15" s="54" t="b">
        <v>1</v>
      </c>
      <c r="AU15" s="51" t="s">
        <v>97</v>
      </c>
      <c r="AV15" s="51" t="str">
        <f t="shared" ca="1" si="1"/>
        <v/>
      </c>
      <c r="AW15" s="58" t="s">
        <v>85</v>
      </c>
    </row>
    <row r="16" spans="1:49" s="51" customFormat="1" ht="30" customHeight="1">
      <c r="A16" s="51" t="s">
        <v>251</v>
      </c>
      <c r="B16" s="51" t="s">
        <v>252</v>
      </c>
      <c r="C16" s="51" t="s">
        <v>253</v>
      </c>
      <c r="D16" s="51" t="s">
        <v>71</v>
      </c>
      <c r="E16" s="51" t="s">
        <v>216</v>
      </c>
      <c r="F16" s="51" t="s">
        <v>254</v>
      </c>
      <c r="G16" s="51" t="s">
        <v>74</v>
      </c>
      <c r="H16" s="51" t="s">
        <v>75</v>
      </c>
      <c r="I16" s="51" t="s">
        <v>76</v>
      </c>
      <c r="J16" s="51" t="s">
        <v>77</v>
      </c>
      <c r="K16" s="51" t="s">
        <v>78</v>
      </c>
      <c r="L16" s="51" t="s">
        <v>129</v>
      </c>
      <c r="M16" s="52">
        <v>46113</v>
      </c>
      <c r="N16" s="52">
        <v>46128</v>
      </c>
      <c r="O16" s="52">
        <v>46128</v>
      </c>
      <c r="P16" s="52" t="s">
        <v>116</v>
      </c>
      <c r="Q16" s="52">
        <v>46219</v>
      </c>
      <c r="R16" s="51" t="s">
        <v>81</v>
      </c>
      <c r="S16" s="51" t="s">
        <v>82</v>
      </c>
      <c r="T16" s="51" t="s">
        <v>83</v>
      </c>
      <c r="U16" s="51" t="s">
        <v>84</v>
      </c>
      <c r="V16" s="53">
        <v>5</v>
      </c>
      <c r="W16" s="53">
        <v>5</v>
      </c>
      <c r="X16" s="53">
        <v>5</v>
      </c>
      <c r="Y16" s="53">
        <f t="shared" si="0"/>
        <v>15</v>
      </c>
      <c r="Z16" s="51" t="s">
        <v>141</v>
      </c>
      <c r="AA16" s="51" t="s">
        <v>83</v>
      </c>
      <c r="AB16" s="51" t="s">
        <v>805</v>
      </c>
      <c r="AC16" s="51" t="s">
        <v>87</v>
      </c>
      <c r="AD16" s="54" t="b">
        <v>1</v>
      </c>
      <c r="AE16" s="51" t="s">
        <v>83</v>
      </c>
      <c r="AF16" s="51" t="s">
        <v>88</v>
      </c>
      <c r="AG16" s="51" t="s">
        <v>89</v>
      </c>
      <c r="AK16" s="51" t="s">
        <v>255</v>
      </c>
      <c r="AL16" s="51" t="s">
        <v>91</v>
      </c>
      <c r="AM16" s="51" t="s">
        <v>256</v>
      </c>
      <c r="AN16" s="51" t="s">
        <v>257</v>
      </c>
      <c r="AO16" s="55" t="s">
        <v>258</v>
      </c>
      <c r="AP16" s="55" t="s">
        <v>259</v>
      </c>
      <c r="AQ16" s="55" t="s">
        <v>260</v>
      </c>
      <c r="AR16" s="56" t="b">
        <v>1</v>
      </c>
      <c r="AS16" s="54" t="b">
        <v>1</v>
      </c>
      <c r="AT16" s="54" t="b">
        <v>0</v>
      </c>
      <c r="AU16" s="51" t="s">
        <v>97</v>
      </c>
      <c r="AV16" s="51" t="str">
        <f t="shared" ca="1" si="1"/>
        <v/>
      </c>
      <c r="AW16" s="58" t="s">
        <v>85</v>
      </c>
    </row>
    <row r="17" spans="1:49" s="51" customFormat="1" ht="30" customHeight="1">
      <c r="A17" s="51" t="s">
        <v>261</v>
      </c>
      <c r="B17" s="51" t="s">
        <v>262</v>
      </c>
      <c r="C17" s="51" t="s">
        <v>263</v>
      </c>
      <c r="D17" s="51" t="s">
        <v>71</v>
      </c>
      <c r="E17" s="51" t="s">
        <v>216</v>
      </c>
      <c r="F17" s="51" t="s">
        <v>254</v>
      </c>
      <c r="G17" s="51" t="s">
        <v>74</v>
      </c>
      <c r="H17" s="51" t="s">
        <v>75</v>
      </c>
      <c r="I17" s="51" t="s">
        <v>76</v>
      </c>
      <c r="J17" s="51" t="s">
        <v>77</v>
      </c>
      <c r="K17" s="51" t="s">
        <v>78</v>
      </c>
      <c r="L17" s="51" t="s">
        <v>129</v>
      </c>
      <c r="M17" s="52">
        <v>46023</v>
      </c>
      <c r="N17" s="52">
        <v>46128</v>
      </c>
      <c r="O17" s="52">
        <v>46128</v>
      </c>
      <c r="P17" s="52" t="s">
        <v>116</v>
      </c>
      <c r="Q17" s="52">
        <v>46219</v>
      </c>
      <c r="R17" s="51" t="s">
        <v>81</v>
      </c>
      <c r="S17" s="51" t="s">
        <v>82</v>
      </c>
      <c r="T17" s="51" t="s">
        <v>83</v>
      </c>
      <c r="U17" s="51" t="s">
        <v>84</v>
      </c>
      <c r="V17" s="53">
        <v>4</v>
      </c>
      <c r="W17" s="53">
        <v>4</v>
      </c>
      <c r="X17" s="53">
        <v>5</v>
      </c>
      <c r="Y17" s="53">
        <f t="shared" si="0"/>
        <v>13</v>
      </c>
      <c r="Z17" s="51" t="s">
        <v>103</v>
      </c>
      <c r="AA17" s="51" t="s">
        <v>82</v>
      </c>
      <c r="AB17" s="51" t="s">
        <v>86</v>
      </c>
      <c r="AC17" s="51" t="s">
        <v>104</v>
      </c>
      <c r="AD17" s="54" t="b">
        <v>0</v>
      </c>
      <c r="AE17" s="51" t="s">
        <v>82</v>
      </c>
      <c r="AF17" s="51" t="s">
        <v>88</v>
      </c>
      <c r="AG17" s="51" t="s">
        <v>89</v>
      </c>
      <c r="AK17" s="51" t="s">
        <v>255</v>
      </c>
      <c r="AL17" s="51" t="s">
        <v>91</v>
      </c>
      <c r="AM17" s="51" t="s">
        <v>264</v>
      </c>
      <c r="AN17" s="51" t="s">
        <v>265</v>
      </c>
      <c r="AO17" s="55" t="s">
        <v>266</v>
      </c>
      <c r="AP17" s="55" t="s">
        <v>267</v>
      </c>
      <c r="AQ17" s="55" t="s">
        <v>268</v>
      </c>
      <c r="AR17" s="56" t="b">
        <v>1</v>
      </c>
      <c r="AS17" s="54" t="b">
        <v>0</v>
      </c>
      <c r="AT17" s="54" t="b">
        <v>0</v>
      </c>
      <c r="AU17" s="51" t="s">
        <v>97</v>
      </c>
      <c r="AV17" s="51" t="str">
        <f t="shared" ca="1" si="1"/>
        <v/>
      </c>
      <c r="AW17" s="58" t="s">
        <v>85</v>
      </c>
    </row>
    <row r="18" spans="1:49" s="51" customFormat="1" ht="30" customHeight="1">
      <c r="A18" s="51" t="s">
        <v>269</v>
      </c>
      <c r="B18" s="51" t="s">
        <v>270</v>
      </c>
      <c r="C18" s="51" t="s">
        <v>271</v>
      </c>
      <c r="D18" s="51" t="s">
        <v>71</v>
      </c>
      <c r="E18" s="51" t="s">
        <v>216</v>
      </c>
      <c r="F18" s="51" t="s">
        <v>272</v>
      </c>
      <c r="G18" s="51" t="s">
        <v>74</v>
      </c>
      <c r="H18" s="51" t="s">
        <v>75</v>
      </c>
      <c r="I18" s="51" t="s">
        <v>76</v>
      </c>
      <c r="J18" s="51" t="s">
        <v>114</v>
      </c>
      <c r="K18" s="51" t="s">
        <v>78</v>
      </c>
      <c r="L18" s="51" t="s">
        <v>273</v>
      </c>
      <c r="M18" s="52">
        <v>46068</v>
      </c>
      <c r="N18" s="52">
        <v>46128</v>
      </c>
      <c r="O18" s="52">
        <v>46128</v>
      </c>
      <c r="P18" s="52" t="s">
        <v>274</v>
      </c>
      <c r="Q18" s="52">
        <v>46158</v>
      </c>
      <c r="R18" s="51" t="s">
        <v>81</v>
      </c>
      <c r="S18" s="51" t="s">
        <v>82</v>
      </c>
      <c r="T18" s="51" t="s">
        <v>83</v>
      </c>
      <c r="U18" s="51" t="s">
        <v>84</v>
      </c>
      <c r="V18" s="53">
        <v>4</v>
      </c>
      <c r="W18" s="53">
        <v>5</v>
      </c>
      <c r="X18" s="53">
        <v>4</v>
      </c>
      <c r="Y18" s="53">
        <f t="shared" si="0"/>
        <v>13</v>
      </c>
      <c r="Z18" s="51" t="s">
        <v>85</v>
      </c>
      <c r="AA18" s="51" t="s">
        <v>83</v>
      </c>
      <c r="AB18" s="51" t="s">
        <v>130</v>
      </c>
      <c r="AC18" s="51" t="s">
        <v>275</v>
      </c>
      <c r="AD18" s="54" t="b">
        <v>0</v>
      </c>
      <c r="AE18" s="51" t="s">
        <v>82</v>
      </c>
      <c r="AF18" s="51" t="s">
        <v>88</v>
      </c>
      <c r="AG18" s="51" t="s">
        <v>118</v>
      </c>
      <c r="AK18" s="51" t="s">
        <v>276</v>
      </c>
      <c r="AL18" s="51" t="s">
        <v>91</v>
      </c>
      <c r="AM18" s="51" t="s">
        <v>277</v>
      </c>
      <c r="AN18" s="51" t="s">
        <v>278</v>
      </c>
      <c r="AO18" s="55" t="s">
        <v>279</v>
      </c>
      <c r="AP18" s="55" t="s">
        <v>280</v>
      </c>
      <c r="AQ18" s="55" t="s">
        <v>281</v>
      </c>
      <c r="AR18" s="56" t="b">
        <v>1</v>
      </c>
      <c r="AS18" s="54" t="b">
        <v>1</v>
      </c>
      <c r="AT18" s="54" t="b">
        <v>0</v>
      </c>
      <c r="AU18" s="51" t="s">
        <v>97</v>
      </c>
      <c r="AV18" s="51" t="str">
        <f t="shared" ca="1" si="1"/>
        <v/>
      </c>
      <c r="AW18" s="58" t="s">
        <v>85</v>
      </c>
    </row>
    <row r="19" spans="1:49" s="51" customFormat="1" ht="30" customHeight="1">
      <c r="A19" s="51" t="s">
        <v>282</v>
      </c>
      <c r="B19" s="51" t="s">
        <v>283</v>
      </c>
      <c r="C19" s="51" t="s">
        <v>284</v>
      </c>
      <c r="D19" s="51" t="s">
        <v>285</v>
      </c>
      <c r="E19" s="51" t="s">
        <v>216</v>
      </c>
      <c r="F19" s="51" t="s">
        <v>228</v>
      </c>
      <c r="G19" s="51" t="s">
        <v>235</v>
      </c>
      <c r="H19" s="51" t="s">
        <v>286</v>
      </c>
      <c r="I19" s="51" t="s">
        <v>76</v>
      </c>
      <c r="J19" s="51" t="s">
        <v>183</v>
      </c>
      <c r="K19" s="51" t="s">
        <v>140</v>
      </c>
      <c r="L19" s="51" t="s">
        <v>287</v>
      </c>
      <c r="M19" s="52">
        <v>46128</v>
      </c>
      <c r="N19" s="52">
        <v>46128</v>
      </c>
      <c r="O19" s="52">
        <v>46128</v>
      </c>
      <c r="P19" s="52" t="s">
        <v>116</v>
      </c>
      <c r="Q19" s="52">
        <v>46219</v>
      </c>
      <c r="R19" s="51" t="s">
        <v>288</v>
      </c>
      <c r="S19" s="51" t="s">
        <v>83</v>
      </c>
      <c r="T19" s="51" t="s">
        <v>82</v>
      </c>
      <c r="U19" s="51" t="s">
        <v>234</v>
      </c>
      <c r="V19" s="53">
        <v>5</v>
      </c>
      <c r="W19" s="53">
        <v>5</v>
      </c>
      <c r="X19" s="53">
        <v>5</v>
      </c>
      <c r="Y19" s="53">
        <f t="shared" si="0"/>
        <v>15</v>
      </c>
      <c r="Z19" s="51" t="s">
        <v>141</v>
      </c>
      <c r="AA19" s="51" t="s">
        <v>83</v>
      </c>
      <c r="AB19" s="51" t="s">
        <v>805</v>
      </c>
      <c r="AC19" s="51" t="s">
        <v>233</v>
      </c>
      <c r="AD19" s="54" t="b">
        <v>0</v>
      </c>
      <c r="AE19" s="51" t="s">
        <v>234</v>
      </c>
      <c r="AF19" s="51" t="s">
        <v>235</v>
      </c>
      <c r="AG19" s="51" t="s">
        <v>289</v>
      </c>
      <c r="AL19" s="51" t="s">
        <v>290</v>
      </c>
      <c r="AM19" s="51" t="s">
        <v>291</v>
      </c>
      <c r="AN19" s="51" t="s">
        <v>292</v>
      </c>
      <c r="AO19" s="55" t="s">
        <v>293</v>
      </c>
      <c r="AP19" s="55" t="s">
        <v>294</v>
      </c>
      <c r="AQ19" s="55" t="s">
        <v>295</v>
      </c>
      <c r="AR19" s="56" t="b">
        <v>1</v>
      </c>
      <c r="AS19" s="54" t="b">
        <v>1</v>
      </c>
      <c r="AT19" s="54" t="b">
        <v>1</v>
      </c>
      <c r="AU19" s="51" t="s">
        <v>82</v>
      </c>
      <c r="AV19" s="51" t="str">
        <f t="shared" ca="1" si="1"/>
        <v/>
      </c>
      <c r="AW19" s="58" t="s">
        <v>680</v>
      </c>
    </row>
    <row r="20" spans="1:49" s="51" customFormat="1" ht="30" customHeight="1">
      <c r="A20" s="51" t="s">
        <v>296</v>
      </c>
      <c r="B20" s="51" t="s">
        <v>297</v>
      </c>
      <c r="C20" s="51" t="s">
        <v>298</v>
      </c>
      <c r="D20" s="51" t="s">
        <v>285</v>
      </c>
      <c r="E20" s="51" t="s">
        <v>216</v>
      </c>
      <c r="F20" s="51" t="s">
        <v>228</v>
      </c>
      <c r="G20" s="51" t="s">
        <v>235</v>
      </c>
      <c r="H20" s="51" t="s">
        <v>286</v>
      </c>
      <c r="I20" s="51" t="s">
        <v>76</v>
      </c>
      <c r="J20" s="51" t="s">
        <v>183</v>
      </c>
      <c r="K20" s="51" t="s">
        <v>299</v>
      </c>
      <c r="L20" s="51" t="s">
        <v>300</v>
      </c>
      <c r="M20" s="52">
        <v>46128</v>
      </c>
      <c r="N20" s="52">
        <v>46128</v>
      </c>
      <c r="O20" s="52">
        <v>46128</v>
      </c>
      <c r="P20" s="52" t="s">
        <v>116</v>
      </c>
      <c r="Q20" s="52">
        <v>46219</v>
      </c>
      <c r="R20" s="51" t="s">
        <v>288</v>
      </c>
      <c r="S20" s="51" t="s">
        <v>83</v>
      </c>
      <c r="T20" s="51" t="s">
        <v>82</v>
      </c>
      <c r="U20" s="51" t="s">
        <v>234</v>
      </c>
      <c r="V20" s="53">
        <v>5</v>
      </c>
      <c r="W20" s="53">
        <v>5</v>
      </c>
      <c r="X20" s="53">
        <v>5</v>
      </c>
      <c r="Y20" s="53">
        <f t="shared" si="0"/>
        <v>15</v>
      </c>
      <c r="Z20" s="51" t="s">
        <v>141</v>
      </c>
      <c r="AA20" s="51" t="s">
        <v>83</v>
      </c>
      <c r="AB20" s="51" t="s">
        <v>130</v>
      </c>
      <c r="AC20" s="51" t="s">
        <v>233</v>
      </c>
      <c r="AD20" s="54" t="b">
        <v>0</v>
      </c>
      <c r="AE20" s="51" t="s">
        <v>234</v>
      </c>
      <c r="AF20" s="51" t="s">
        <v>235</v>
      </c>
      <c r="AG20" s="51" t="s">
        <v>289</v>
      </c>
      <c r="AL20" s="51" t="s">
        <v>290</v>
      </c>
      <c r="AM20" s="51" t="s">
        <v>301</v>
      </c>
      <c r="AN20" s="51" t="s">
        <v>302</v>
      </c>
      <c r="AO20" s="55" t="s">
        <v>303</v>
      </c>
      <c r="AP20" s="55" t="s">
        <v>304</v>
      </c>
      <c r="AQ20" s="55" t="s">
        <v>305</v>
      </c>
      <c r="AR20" s="56" t="b">
        <v>1</v>
      </c>
      <c r="AS20" s="54" t="b">
        <v>1</v>
      </c>
      <c r="AT20" s="54" t="b">
        <v>1</v>
      </c>
      <c r="AU20" s="51" t="s">
        <v>82</v>
      </c>
      <c r="AV20" s="51" t="str">
        <f t="shared" ca="1" si="1"/>
        <v/>
      </c>
      <c r="AW20" s="58" t="s">
        <v>680</v>
      </c>
    </row>
    <row r="21" spans="1:49" s="51" customFormat="1" ht="30" customHeight="1">
      <c r="A21" s="51" t="s">
        <v>306</v>
      </c>
      <c r="B21" s="51" t="s">
        <v>307</v>
      </c>
      <c r="C21" s="51" t="s">
        <v>308</v>
      </c>
      <c r="D21" s="51" t="s">
        <v>285</v>
      </c>
      <c r="E21" s="51" t="s">
        <v>216</v>
      </c>
      <c r="F21" s="51" t="s">
        <v>228</v>
      </c>
      <c r="G21" s="51" t="s">
        <v>235</v>
      </c>
      <c r="H21" s="51" t="s">
        <v>286</v>
      </c>
      <c r="I21" s="51" t="s">
        <v>76</v>
      </c>
      <c r="J21" s="51" t="s">
        <v>309</v>
      </c>
      <c r="K21" s="51" t="s">
        <v>299</v>
      </c>
      <c r="L21" s="51" t="s">
        <v>310</v>
      </c>
      <c r="M21" s="52">
        <v>46128</v>
      </c>
      <c r="N21" s="52">
        <v>46128</v>
      </c>
      <c r="O21" s="52">
        <v>46128</v>
      </c>
      <c r="P21" s="52" t="s">
        <v>116</v>
      </c>
      <c r="Q21" s="52">
        <v>46219</v>
      </c>
      <c r="R21" s="51" t="s">
        <v>288</v>
      </c>
      <c r="S21" s="51" t="s">
        <v>83</v>
      </c>
      <c r="T21" s="51" t="s">
        <v>82</v>
      </c>
      <c r="U21" s="51" t="s">
        <v>234</v>
      </c>
      <c r="V21" s="53">
        <v>5</v>
      </c>
      <c r="W21" s="53">
        <v>5</v>
      </c>
      <c r="X21" s="53">
        <v>4</v>
      </c>
      <c r="Y21" s="53">
        <f t="shared" si="0"/>
        <v>14</v>
      </c>
      <c r="Z21" s="51" t="s">
        <v>141</v>
      </c>
      <c r="AA21" s="51" t="s">
        <v>83</v>
      </c>
      <c r="AB21" s="51" t="s">
        <v>130</v>
      </c>
      <c r="AC21" s="51" t="s">
        <v>245</v>
      </c>
      <c r="AD21" s="54" t="b">
        <v>0</v>
      </c>
      <c r="AE21" s="51" t="s">
        <v>234</v>
      </c>
      <c r="AF21" s="51" t="s">
        <v>235</v>
      </c>
      <c r="AG21" s="51" t="s">
        <v>289</v>
      </c>
      <c r="AL21" s="51" t="s">
        <v>290</v>
      </c>
      <c r="AM21" s="51" t="s">
        <v>311</v>
      </c>
      <c r="AN21" s="51" t="s">
        <v>312</v>
      </c>
      <c r="AO21" s="55" t="s">
        <v>313</v>
      </c>
      <c r="AP21" s="55" t="s">
        <v>314</v>
      </c>
      <c r="AQ21" s="55" t="s">
        <v>315</v>
      </c>
      <c r="AR21" s="56" t="b">
        <v>1</v>
      </c>
      <c r="AS21" s="54" t="b">
        <v>1</v>
      </c>
      <c r="AT21" s="54" t="b">
        <v>1</v>
      </c>
      <c r="AU21" s="51" t="s">
        <v>82</v>
      </c>
      <c r="AV21" s="51" t="str">
        <f t="shared" ca="1" si="1"/>
        <v/>
      </c>
      <c r="AW21" s="58" t="s">
        <v>680</v>
      </c>
    </row>
    <row r="22" spans="1:49" s="51" customFormat="1" ht="30" customHeight="1">
      <c r="A22" s="51" t="s">
        <v>316</v>
      </c>
      <c r="B22" s="51" t="s">
        <v>317</v>
      </c>
      <c r="C22" s="51" t="s">
        <v>318</v>
      </c>
      <c r="D22" s="51" t="s">
        <v>319</v>
      </c>
      <c r="E22" s="51" t="s">
        <v>216</v>
      </c>
      <c r="F22" s="51" t="s">
        <v>228</v>
      </c>
      <c r="G22" s="51" t="s">
        <v>235</v>
      </c>
      <c r="H22" s="51" t="s">
        <v>286</v>
      </c>
      <c r="I22" s="51" t="s">
        <v>76</v>
      </c>
      <c r="J22" s="51" t="s">
        <v>309</v>
      </c>
      <c r="K22" s="51" t="s">
        <v>299</v>
      </c>
      <c r="L22" s="51" t="s">
        <v>320</v>
      </c>
      <c r="M22" s="52">
        <v>46128</v>
      </c>
      <c r="N22" s="52">
        <v>46128</v>
      </c>
      <c r="O22" s="52">
        <v>46128</v>
      </c>
      <c r="P22" s="52" t="s">
        <v>274</v>
      </c>
      <c r="Q22" s="52">
        <v>46158</v>
      </c>
      <c r="R22" s="51" t="s">
        <v>288</v>
      </c>
      <c r="S22" s="51" t="s">
        <v>83</v>
      </c>
      <c r="T22" s="51" t="s">
        <v>82</v>
      </c>
      <c r="U22" s="51" t="s">
        <v>234</v>
      </c>
      <c r="V22" s="53">
        <v>5</v>
      </c>
      <c r="W22" s="53">
        <v>5</v>
      </c>
      <c r="X22" s="53">
        <v>5</v>
      </c>
      <c r="Y22" s="53">
        <f t="shared" si="0"/>
        <v>15</v>
      </c>
      <c r="Z22" s="51" t="s">
        <v>141</v>
      </c>
      <c r="AA22" s="51" t="s">
        <v>83</v>
      </c>
      <c r="AB22" s="51" t="s">
        <v>130</v>
      </c>
      <c r="AC22" s="51" t="s">
        <v>321</v>
      </c>
      <c r="AD22" s="54" t="b">
        <v>0</v>
      </c>
      <c r="AE22" s="51" t="s">
        <v>234</v>
      </c>
      <c r="AF22" s="51" t="s">
        <v>235</v>
      </c>
      <c r="AG22" s="51" t="s">
        <v>89</v>
      </c>
      <c r="AL22" s="51" t="s">
        <v>290</v>
      </c>
      <c r="AM22" s="51" t="s">
        <v>322</v>
      </c>
      <c r="AN22" s="51" t="s">
        <v>323</v>
      </c>
      <c r="AO22" s="55" t="s">
        <v>324</v>
      </c>
      <c r="AP22" s="55" t="s">
        <v>325</v>
      </c>
      <c r="AQ22" s="55" t="s">
        <v>326</v>
      </c>
      <c r="AR22" s="56" t="b">
        <v>1</v>
      </c>
      <c r="AS22" s="54" t="b">
        <v>1</v>
      </c>
      <c r="AT22" s="54" t="b">
        <v>1</v>
      </c>
      <c r="AU22" s="51" t="s">
        <v>82</v>
      </c>
      <c r="AV22" s="51" t="str">
        <f t="shared" ca="1" si="1"/>
        <v/>
      </c>
      <c r="AW22" s="58" t="s">
        <v>680</v>
      </c>
    </row>
    <row r="23" spans="1:49" s="51" customFormat="1" ht="30" customHeight="1">
      <c r="A23" s="51" t="s">
        <v>327</v>
      </c>
      <c r="B23" s="51" t="s">
        <v>328</v>
      </c>
      <c r="C23" s="51" t="s">
        <v>329</v>
      </c>
      <c r="D23" s="51" t="s">
        <v>330</v>
      </c>
      <c r="E23" s="51" t="s">
        <v>331</v>
      </c>
      <c r="F23" s="51" t="s">
        <v>332</v>
      </c>
      <c r="G23" s="51" t="s">
        <v>74</v>
      </c>
      <c r="H23" s="51" t="s">
        <v>75</v>
      </c>
      <c r="I23" s="51" t="s">
        <v>76</v>
      </c>
      <c r="J23" s="51" t="s">
        <v>77</v>
      </c>
      <c r="K23" s="51" t="s">
        <v>333</v>
      </c>
      <c r="L23" s="51" t="s">
        <v>334</v>
      </c>
      <c r="M23" s="52">
        <v>45778</v>
      </c>
      <c r="N23" s="52">
        <v>46128</v>
      </c>
      <c r="O23" s="52">
        <v>46128</v>
      </c>
      <c r="P23" s="52" t="s">
        <v>80</v>
      </c>
      <c r="Q23" s="52">
        <v>46493</v>
      </c>
      <c r="R23" s="51" t="s">
        <v>101</v>
      </c>
      <c r="S23" s="51" t="s">
        <v>102</v>
      </c>
      <c r="T23" s="51" t="s">
        <v>83</v>
      </c>
      <c r="U23" s="51" t="s">
        <v>84</v>
      </c>
      <c r="V23" s="53">
        <v>4</v>
      </c>
      <c r="W23" s="53">
        <v>4</v>
      </c>
      <c r="X23" s="53">
        <v>5</v>
      </c>
      <c r="Y23" s="53">
        <f t="shared" si="0"/>
        <v>13</v>
      </c>
      <c r="Z23" s="51" t="s">
        <v>85</v>
      </c>
      <c r="AA23" s="51" t="s">
        <v>82</v>
      </c>
      <c r="AB23" s="51" t="s">
        <v>86</v>
      </c>
      <c r="AC23" s="51" t="s">
        <v>87</v>
      </c>
      <c r="AD23" s="54" t="b">
        <v>1</v>
      </c>
      <c r="AE23" s="51" t="s">
        <v>82</v>
      </c>
      <c r="AF23" s="51" t="s">
        <v>88</v>
      </c>
      <c r="AG23" s="51" t="s">
        <v>89</v>
      </c>
      <c r="AK23" s="51" t="s">
        <v>335</v>
      </c>
      <c r="AL23" s="51" t="s">
        <v>91</v>
      </c>
      <c r="AM23" s="51" t="s">
        <v>336</v>
      </c>
      <c r="AN23" s="51" t="s">
        <v>337</v>
      </c>
      <c r="AO23" s="55" t="s">
        <v>338</v>
      </c>
      <c r="AP23" s="55" t="s">
        <v>339</v>
      </c>
      <c r="AQ23" s="55" t="s">
        <v>340</v>
      </c>
      <c r="AR23" s="56" t="b">
        <v>1</v>
      </c>
      <c r="AS23" s="54" t="b">
        <v>1</v>
      </c>
      <c r="AT23" s="54" t="b">
        <v>1</v>
      </c>
      <c r="AU23" s="51" t="s">
        <v>97</v>
      </c>
      <c r="AV23" s="51" t="str">
        <f t="shared" ca="1" si="1"/>
        <v/>
      </c>
      <c r="AW23" s="58" t="s">
        <v>85</v>
      </c>
    </row>
    <row r="24" spans="1:49" s="51" customFormat="1" ht="30" customHeight="1">
      <c r="A24" s="51" t="s">
        <v>341</v>
      </c>
      <c r="B24" s="51" t="s">
        <v>342</v>
      </c>
      <c r="C24" s="51" t="s">
        <v>343</v>
      </c>
      <c r="D24" s="51" t="s">
        <v>330</v>
      </c>
      <c r="E24" s="51" t="s">
        <v>331</v>
      </c>
      <c r="F24" s="51" t="s">
        <v>344</v>
      </c>
      <c r="G24" s="51" t="s">
        <v>74</v>
      </c>
      <c r="H24" s="51" t="s">
        <v>75</v>
      </c>
      <c r="I24" s="51" t="s">
        <v>76</v>
      </c>
      <c r="J24" s="51" t="s">
        <v>128</v>
      </c>
      <c r="K24" s="51" t="s">
        <v>333</v>
      </c>
      <c r="L24" s="51" t="s">
        <v>345</v>
      </c>
      <c r="M24" s="52">
        <v>45536</v>
      </c>
      <c r="N24" s="52">
        <v>46128</v>
      </c>
      <c r="O24" s="52">
        <v>46128</v>
      </c>
      <c r="P24" s="52" t="s">
        <v>80</v>
      </c>
      <c r="Q24" s="52">
        <v>46493</v>
      </c>
      <c r="R24" s="51" t="s">
        <v>101</v>
      </c>
      <c r="S24" s="51" t="s">
        <v>102</v>
      </c>
      <c r="T24" s="51" t="s">
        <v>83</v>
      </c>
      <c r="U24" s="51" t="s">
        <v>84</v>
      </c>
      <c r="V24" s="53">
        <v>4</v>
      </c>
      <c r="W24" s="53">
        <v>4</v>
      </c>
      <c r="X24" s="53">
        <v>5</v>
      </c>
      <c r="Y24" s="53">
        <f t="shared" si="0"/>
        <v>13</v>
      </c>
      <c r="Z24" s="51" t="s">
        <v>103</v>
      </c>
      <c r="AA24" s="51" t="s">
        <v>82</v>
      </c>
      <c r="AB24" s="51" t="s">
        <v>86</v>
      </c>
      <c r="AC24" s="51" t="s">
        <v>104</v>
      </c>
      <c r="AD24" s="54" t="b">
        <v>0</v>
      </c>
      <c r="AE24" s="51" t="s">
        <v>82</v>
      </c>
      <c r="AF24" s="51" t="s">
        <v>88</v>
      </c>
      <c r="AG24" s="51" t="s">
        <v>118</v>
      </c>
      <c r="AK24" s="51" t="s">
        <v>346</v>
      </c>
      <c r="AL24" s="51" t="s">
        <v>91</v>
      </c>
      <c r="AM24" s="51" t="s">
        <v>347</v>
      </c>
      <c r="AN24" s="51" t="s">
        <v>348</v>
      </c>
      <c r="AO24" s="55" t="s">
        <v>349</v>
      </c>
      <c r="AP24" s="55" t="s">
        <v>350</v>
      </c>
      <c r="AQ24" s="55" t="s">
        <v>351</v>
      </c>
      <c r="AR24" s="56" t="b">
        <v>1</v>
      </c>
      <c r="AS24" s="54" t="b">
        <v>1</v>
      </c>
      <c r="AT24" s="54" t="b">
        <v>1</v>
      </c>
      <c r="AU24" s="51" t="s">
        <v>97</v>
      </c>
      <c r="AV24" s="51" t="str">
        <f t="shared" ca="1" si="1"/>
        <v/>
      </c>
      <c r="AW24" s="58" t="s">
        <v>85</v>
      </c>
    </row>
    <row r="25" spans="1:49" s="51" customFormat="1" ht="30" customHeight="1">
      <c r="A25" s="51" t="s">
        <v>352</v>
      </c>
      <c r="B25" s="51" t="s">
        <v>353</v>
      </c>
      <c r="C25" s="51" t="s">
        <v>354</v>
      </c>
      <c r="D25" s="51" t="s">
        <v>330</v>
      </c>
      <c r="E25" s="51" t="s">
        <v>331</v>
      </c>
      <c r="F25" s="51" t="s">
        <v>355</v>
      </c>
      <c r="G25" s="51" t="s">
        <v>74</v>
      </c>
      <c r="H25" s="51" t="s">
        <v>75</v>
      </c>
      <c r="I25" s="51" t="s">
        <v>76</v>
      </c>
      <c r="J25" s="51" t="s">
        <v>114</v>
      </c>
      <c r="K25" s="51" t="s">
        <v>356</v>
      </c>
      <c r="L25" s="51" t="s">
        <v>357</v>
      </c>
      <c r="M25" s="52">
        <v>45931</v>
      </c>
      <c r="N25" s="52">
        <v>46128</v>
      </c>
      <c r="O25" s="52">
        <v>46128</v>
      </c>
      <c r="P25" s="52" t="s">
        <v>80</v>
      </c>
      <c r="Q25" s="52">
        <v>46493</v>
      </c>
      <c r="R25" s="51" t="s">
        <v>81</v>
      </c>
      <c r="S25" s="51" t="s">
        <v>82</v>
      </c>
      <c r="T25" s="51" t="s">
        <v>82</v>
      </c>
      <c r="U25" s="51" t="s">
        <v>163</v>
      </c>
      <c r="V25" s="53">
        <v>4</v>
      </c>
      <c r="W25" s="53">
        <v>4</v>
      </c>
      <c r="X25" s="53">
        <v>4</v>
      </c>
      <c r="Y25" s="53">
        <f t="shared" si="0"/>
        <v>12</v>
      </c>
      <c r="Z25" s="51" t="s">
        <v>85</v>
      </c>
      <c r="AA25" s="51" t="s">
        <v>82</v>
      </c>
      <c r="AB25" s="51" t="s">
        <v>130</v>
      </c>
      <c r="AC25" s="51" t="s">
        <v>87</v>
      </c>
      <c r="AD25" s="54" t="b">
        <v>0</v>
      </c>
      <c r="AE25" s="51" t="s">
        <v>82</v>
      </c>
      <c r="AF25" s="51" t="s">
        <v>88</v>
      </c>
      <c r="AG25" s="51" t="s">
        <v>118</v>
      </c>
      <c r="AK25" s="51" t="s">
        <v>358</v>
      </c>
      <c r="AL25" s="51" t="s">
        <v>91</v>
      </c>
      <c r="AM25" s="51" t="s">
        <v>359</v>
      </c>
      <c r="AN25" s="51" t="s">
        <v>360</v>
      </c>
      <c r="AO25" s="55" t="s">
        <v>361</v>
      </c>
      <c r="AP25" s="55" t="s">
        <v>362</v>
      </c>
      <c r="AQ25" s="55" t="s">
        <v>363</v>
      </c>
      <c r="AR25" s="56" t="b">
        <v>1</v>
      </c>
      <c r="AS25" s="54" t="b">
        <v>1</v>
      </c>
      <c r="AT25" s="54" t="b">
        <v>0</v>
      </c>
      <c r="AU25" s="51" t="s">
        <v>82</v>
      </c>
      <c r="AV25" s="51" t="str">
        <f t="shared" ca="1" si="1"/>
        <v/>
      </c>
      <c r="AW25" s="58" t="s">
        <v>85</v>
      </c>
    </row>
    <row r="26" spans="1:49" s="51" customFormat="1" ht="30" customHeight="1">
      <c r="A26" s="51" t="s">
        <v>364</v>
      </c>
      <c r="B26" s="51" t="s">
        <v>365</v>
      </c>
      <c r="C26" s="51" t="s">
        <v>366</v>
      </c>
      <c r="D26" s="51" t="s">
        <v>285</v>
      </c>
      <c r="E26" s="51" t="s">
        <v>331</v>
      </c>
      <c r="F26" s="51" t="s">
        <v>228</v>
      </c>
      <c r="G26" s="51" t="s">
        <v>235</v>
      </c>
      <c r="H26" s="51" t="s">
        <v>367</v>
      </c>
      <c r="I26" s="51" t="s">
        <v>76</v>
      </c>
      <c r="J26" s="51" t="s">
        <v>309</v>
      </c>
      <c r="K26" s="51" t="s">
        <v>368</v>
      </c>
      <c r="L26" s="51" t="s">
        <v>369</v>
      </c>
      <c r="M26" s="52">
        <v>46128</v>
      </c>
      <c r="N26" s="52">
        <v>46128</v>
      </c>
      <c r="O26" s="52">
        <v>46128</v>
      </c>
      <c r="P26" s="52" t="s">
        <v>116</v>
      </c>
      <c r="Q26" s="52">
        <v>46219</v>
      </c>
      <c r="R26" s="51" t="s">
        <v>288</v>
      </c>
      <c r="S26" s="51" t="s">
        <v>83</v>
      </c>
      <c r="T26" s="51" t="s">
        <v>82</v>
      </c>
      <c r="U26" s="51" t="s">
        <v>234</v>
      </c>
      <c r="V26" s="53">
        <v>5</v>
      </c>
      <c r="W26" s="53">
        <v>5</v>
      </c>
      <c r="X26" s="53">
        <v>5</v>
      </c>
      <c r="Y26" s="53">
        <f t="shared" si="0"/>
        <v>15</v>
      </c>
      <c r="Z26" s="51" t="s">
        <v>141</v>
      </c>
      <c r="AA26" s="51" t="s">
        <v>83</v>
      </c>
      <c r="AB26" s="51" t="s">
        <v>130</v>
      </c>
      <c r="AC26" s="51" t="s">
        <v>245</v>
      </c>
      <c r="AD26" s="54" t="b">
        <v>0</v>
      </c>
      <c r="AE26" s="51" t="s">
        <v>234</v>
      </c>
      <c r="AF26" s="51" t="s">
        <v>235</v>
      </c>
      <c r="AG26" s="51" t="s">
        <v>89</v>
      </c>
      <c r="AL26" s="51" t="s">
        <v>290</v>
      </c>
      <c r="AM26" s="51" t="s">
        <v>370</v>
      </c>
      <c r="AN26" s="51" t="s">
        <v>371</v>
      </c>
      <c r="AO26" s="55" t="s">
        <v>372</v>
      </c>
      <c r="AP26" s="55" t="s">
        <v>373</v>
      </c>
      <c r="AQ26" s="55" t="s">
        <v>374</v>
      </c>
      <c r="AR26" s="56" t="b">
        <v>1</v>
      </c>
      <c r="AS26" s="54" t="b">
        <v>1</v>
      </c>
      <c r="AT26" s="54" t="b">
        <v>1</v>
      </c>
      <c r="AU26" s="51" t="s">
        <v>82</v>
      </c>
      <c r="AV26" s="51" t="str">
        <f t="shared" ca="1" si="1"/>
        <v/>
      </c>
      <c r="AW26" s="58" t="s">
        <v>680</v>
      </c>
    </row>
    <row r="27" spans="1:49" s="51" customFormat="1" ht="30" customHeight="1">
      <c r="A27" s="51" t="s">
        <v>375</v>
      </c>
      <c r="B27" s="51" t="s">
        <v>376</v>
      </c>
      <c r="C27" s="51" t="s">
        <v>377</v>
      </c>
      <c r="D27" s="51" t="s">
        <v>285</v>
      </c>
      <c r="E27" s="51" t="s">
        <v>331</v>
      </c>
      <c r="F27" s="51" t="s">
        <v>228</v>
      </c>
      <c r="G27" s="51" t="s">
        <v>235</v>
      </c>
      <c r="H27" s="51" t="s">
        <v>367</v>
      </c>
      <c r="I27" s="51" t="s">
        <v>76</v>
      </c>
      <c r="J27" s="51" t="s">
        <v>309</v>
      </c>
      <c r="K27" s="51" t="s">
        <v>368</v>
      </c>
      <c r="L27" s="51" t="s">
        <v>378</v>
      </c>
      <c r="M27" s="52">
        <v>46128</v>
      </c>
      <c r="N27" s="52">
        <v>46128</v>
      </c>
      <c r="O27" s="52">
        <v>46128</v>
      </c>
      <c r="P27" s="52" t="s">
        <v>116</v>
      </c>
      <c r="Q27" s="52">
        <v>46219</v>
      </c>
      <c r="R27" s="51" t="s">
        <v>288</v>
      </c>
      <c r="S27" s="51" t="s">
        <v>83</v>
      </c>
      <c r="T27" s="51" t="s">
        <v>82</v>
      </c>
      <c r="U27" s="51" t="s">
        <v>234</v>
      </c>
      <c r="V27" s="53">
        <v>4</v>
      </c>
      <c r="W27" s="53">
        <v>5</v>
      </c>
      <c r="X27" s="53">
        <v>5</v>
      </c>
      <c r="Y27" s="53">
        <f t="shared" si="0"/>
        <v>14</v>
      </c>
      <c r="Z27" s="51" t="s">
        <v>141</v>
      </c>
      <c r="AA27" s="51" t="s">
        <v>83</v>
      </c>
      <c r="AB27" s="51" t="s">
        <v>130</v>
      </c>
      <c r="AC27" s="51" t="s">
        <v>245</v>
      </c>
      <c r="AD27" s="54" t="b">
        <v>0</v>
      </c>
      <c r="AE27" s="51" t="s">
        <v>234</v>
      </c>
      <c r="AF27" s="51" t="s">
        <v>235</v>
      </c>
      <c r="AG27" s="51" t="s">
        <v>89</v>
      </c>
      <c r="AL27" s="51" t="s">
        <v>290</v>
      </c>
      <c r="AM27" s="51" t="s">
        <v>379</v>
      </c>
      <c r="AN27" s="51" t="s">
        <v>380</v>
      </c>
      <c r="AO27" s="55" t="s">
        <v>381</v>
      </c>
      <c r="AP27" s="55" t="s">
        <v>280</v>
      </c>
      <c r="AQ27" s="55" t="s">
        <v>382</v>
      </c>
      <c r="AR27" s="56" t="b">
        <v>1</v>
      </c>
      <c r="AS27" s="54" t="b">
        <v>1</v>
      </c>
      <c r="AT27" s="54" t="b">
        <v>1</v>
      </c>
      <c r="AU27" s="51" t="s">
        <v>82</v>
      </c>
      <c r="AV27" s="51" t="str">
        <f t="shared" ca="1" si="1"/>
        <v/>
      </c>
      <c r="AW27" s="58" t="s">
        <v>680</v>
      </c>
    </row>
    <row r="28" spans="1:49" s="51" customFormat="1" ht="30" customHeight="1">
      <c r="A28" s="51" t="s">
        <v>383</v>
      </c>
      <c r="B28" s="51" t="s">
        <v>384</v>
      </c>
      <c r="C28" s="51" t="s">
        <v>385</v>
      </c>
      <c r="D28" s="51" t="s">
        <v>285</v>
      </c>
      <c r="E28" s="51" t="s">
        <v>331</v>
      </c>
      <c r="F28" s="51" t="s">
        <v>228</v>
      </c>
      <c r="G28" s="51" t="s">
        <v>235</v>
      </c>
      <c r="H28" s="51" t="s">
        <v>367</v>
      </c>
      <c r="I28" s="51" t="s">
        <v>76</v>
      </c>
      <c r="J28" s="51" t="s">
        <v>309</v>
      </c>
      <c r="K28" s="51" t="s">
        <v>368</v>
      </c>
      <c r="L28" s="51" t="s">
        <v>386</v>
      </c>
      <c r="M28" s="52">
        <v>46128</v>
      </c>
      <c r="N28" s="52">
        <v>46128</v>
      </c>
      <c r="O28" s="52">
        <v>46128</v>
      </c>
      <c r="P28" s="52" t="s">
        <v>274</v>
      </c>
      <c r="Q28" s="52">
        <v>46158</v>
      </c>
      <c r="R28" s="51" t="s">
        <v>288</v>
      </c>
      <c r="S28" s="51" t="s">
        <v>83</v>
      </c>
      <c r="T28" s="51" t="s">
        <v>82</v>
      </c>
      <c r="U28" s="51" t="s">
        <v>234</v>
      </c>
      <c r="V28" s="53">
        <v>5</v>
      </c>
      <c r="W28" s="53">
        <v>5</v>
      </c>
      <c r="X28" s="53">
        <v>5</v>
      </c>
      <c r="Y28" s="53">
        <f t="shared" si="0"/>
        <v>15</v>
      </c>
      <c r="Z28" s="51" t="s">
        <v>141</v>
      </c>
      <c r="AA28" s="51" t="s">
        <v>83</v>
      </c>
      <c r="AB28" s="51" t="s">
        <v>130</v>
      </c>
      <c r="AC28" s="51" t="s">
        <v>387</v>
      </c>
      <c r="AD28" s="54" t="b">
        <v>0</v>
      </c>
      <c r="AE28" s="51" t="s">
        <v>234</v>
      </c>
      <c r="AF28" s="51" t="s">
        <v>235</v>
      </c>
      <c r="AG28" s="51" t="s">
        <v>289</v>
      </c>
      <c r="AL28" s="51" t="s">
        <v>290</v>
      </c>
      <c r="AM28" s="51" t="s">
        <v>388</v>
      </c>
      <c r="AN28" s="51" t="s">
        <v>389</v>
      </c>
      <c r="AO28" s="55" t="s">
        <v>390</v>
      </c>
      <c r="AP28" s="55" t="s">
        <v>391</v>
      </c>
      <c r="AQ28" s="55" t="s">
        <v>392</v>
      </c>
      <c r="AR28" s="56" t="b">
        <v>1</v>
      </c>
      <c r="AS28" s="54" t="b">
        <v>1</v>
      </c>
      <c r="AT28" s="54" t="b">
        <v>1</v>
      </c>
      <c r="AU28" s="51" t="s">
        <v>82</v>
      </c>
      <c r="AV28" s="51" t="str">
        <f t="shared" ca="1" si="1"/>
        <v/>
      </c>
      <c r="AW28" s="58" t="s">
        <v>680</v>
      </c>
    </row>
    <row r="29" spans="1:49" s="51" customFormat="1" ht="30" customHeight="1">
      <c r="A29" s="51" t="s">
        <v>393</v>
      </c>
      <c r="B29" s="51" t="s">
        <v>394</v>
      </c>
      <c r="C29" s="51" t="s">
        <v>395</v>
      </c>
      <c r="D29" s="51" t="s">
        <v>396</v>
      </c>
      <c r="E29" s="51" t="s">
        <v>397</v>
      </c>
      <c r="F29" s="51" t="s">
        <v>160</v>
      </c>
      <c r="G29" s="51" t="s">
        <v>74</v>
      </c>
      <c r="H29" s="51" t="s">
        <v>75</v>
      </c>
      <c r="I29" s="51" t="s">
        <v>398</v>
      </c>
      <c r="J29" s="51" t="s">
        <v>114</v>
      </c>
      <c r="K29" s="51" t="s">
        <v>399</v>
      </c>
      <c r="L29" s="51" t="s">
        <v>400</v>
      </c>
      <c r="M29" s="52">
        <v>46054</v>
      </c>
      <c r="N29" s="52">
        <v>46128</v>
      </c>
      <c r="O29" s="52">
        <v>46128</v>
      </c>
      <c r="P29" s="52" t="s">
        <v>116</v>
      </c>
      <c r="Q29" s="52">
        <v>46219</v>
      </c>
      <c r="R29" s="51" t="s">
        <v>81</v>
      </c>
      <c r="S29" s="51" t="s">
        <v>82</v>
      </c>
      <c r="T29" s="51" t="s">
        <v>82</v>
      </c>
      <c r="U29" s="51" t="s">
        <v>163</v>
      </c>
      <c r="V29" s="53">
        <v>4</v>
      </c>
      <c r="W29" s="53">
        <v>4</v>
      </c>
      <c r="X29" s="53">
        <v>4</v>
      </c>
      <c r="Y29" s="53">
        <f t="shared" si="0"/>
        <v>12</v>
      </c>
      <c r="Z29" s="51" t="s">
        <v>141</v>
      </c>
      <c r="AA29" s="51" t="s">
        <v>82</v>
      </c>
      <c r="AB29" s="51" t="s">
        <v>130</v>
      </c>
      <c r="AC29" s="51" t="s">
        <v>87</v>
      </c>
      <c r="AD29" s="54" t="b">
        <v>0</v>
      </c>
      <c r="AE29" s="51" t="s">
        <v>82</v>
      </c>
      <c r="AF29" s="51" t="s">
        <v>88</v>
      </c>
      <c r="AG29" s="51" t="s">
        <v>118</v>
      </c>
      <c r="AK29" s="51" t="s">
        <v>164</v>
      </c>
      <c r="AL29" s="51" t="s">
        <v>91</v>
      </c>
      <c r="AM29" s="51" t="s">
        <v>401</v>
      </c>
      <c r="AN29" s="51" t="s">
        <v>402</v>
      </c>
      <c r="AO29" s="55" t="s">
        <v>403</v>
      </c>
      <c r="AP29" s="55" t="s">
        <v>404</v>
      </c>
      <c r="AQ29" s="55" t="s">
        <v>405</v>
      </c>
      <c r="AR29" s="56" t="b">
        <v>1</v>
      </c>
      <c r="AS29" s="54" t="b">
        <v>1</v>
      </c>
      <c r="AT29" s="54" t="b">
        <v>0</v>
      </c>
      <c r="AU29" s="51" t="s">
        <v>82</v>
      </c>
      <c r="AV29" s="51" t="str">
        <f t="shared" ca="1" si="1"/>
        <v/>
      </c>
      <c r="AW29" s="58" t="s">
        <v>85</v>
      </c>
    </row>
    <row r="30" spans="1:49" s="51" customFormat="1" ht="30" customHeight="1">
      <c r="A30" s="51" t="s">
        <v>406</v>
      </c>
      <c r="B30" s="51" t="s">
        <v>407</v>
      </c>
      <c r="C30" s="51" t="s">
        <v>408</v>
      </c>
      <c r="D30" s="51" t="s">
        <v>396</v>
      </c>
      <c r="E30" s="51" t="s">
        <v>397</v>
      </c>
      <c r="F30" s="51" t="s">
        <v>409</v>
      </c>
      <c r="G30" s="51" t="s">
        <v>74</v>
      </c>
      <c r="H30" s="51" t="s">
        <v>75</v>
      </c>
      <c r="I30" s="51" t="s">
        <v>410</v>
      </c>
      <c r="J30" s="51" t="s">
        <v>114</v>
      </c>
      <c r="K30" s="51" t="s">
        <v>411</v>
      </c>
      <c r="L30" s="51" t="s">
        <v>412</v>
      </c>
      <c r="M30" s="52">
        <v>46073</v>
      </c>
      <c r="N30" s="52">
        <v>46128</v>
      </c>
      <c r="O30" s="52">
        <v>46128</v>
      </c>
      <c r="P30" s="52" t="s">
        <v>116</v>
      </c>
      <c r="Q30" s="52">
        <v>46219</v>
      </c>
      <c r="R30" s="51" t="s">
        <v>81</v>
      </c>
      <c r="S30" s="51" t="s">
        <v>82</v>
      </c>
      <c r="T30" s="51" t="s">
        <v>82</v>
      </c>
      <c r="U30" s="51" t="s">
        <v>163</v>
      </c>
      <c r="V30" s="53">
        <v>4</v>
      </c>
      <c r="W30" s="53">
        <v>4</v>
      </c>
      <c r="X30" s="53">
        <v>4</v>
      </c>
      <c r="Y30" s="53">
        <f t="shared" si="0"/>
        <v>12</v>
      </c>
      <c r="Z30" s="51" t="s">
        <v>141</v>
      </c>
      <c r="AA30" s="51" t="s">
        <v>82</v>
      </c>
      <c r="AB30" s="51" t="s">
        <v>130</v>
      </c>
      <c r="AC30" s="51" t="s">
        <v>87</v>
      </c>
      <c r="AD30" s="54" t="b">
        <v>0</v>
      </c>
      <c r="AE30" s="51" t="s">
        <v>82</v>
      </c>
      <c r="AF30" s="51" t="s">
        <v>88</v>
      </c>
      <c r="AG30" s="51" t="s">
        <v>118</v>
      </c>
      <c r="AK30" s="51" t="s">
        <v>413</v>
      </c>
      <c r="AL30" s="51" t="s">
        <v>91</v>
      </c>
      <c r="AM30" s="51" t="s">
        <v>414</v>
      </c>
      <c r="AN30" s="51" t="s">
        <v>415</v>
      </c>
      <c r="AO30" s="55" t="s">
        <v>416</v>
      </c>
      <c r="AP30" s="55" t="s">
        <v>417</v>
      </c>
      <c r="AQ30" s="55" t="s">
        <v>418</v>
      </c>
      <c r="AR30" s="56" t="b">
        <v>1</v>
      </c>
      <c r="AS30" s="54" t="b">
        <v>1</v>
      </c>
      <c r="AT30" s="54" t="b">
        <v>0</v>
      </c>
      <c r="AU30" s="51" t="s">
        <v>82</v>
      </c>
      <c r="AV30" s="51" t="str">
        <f t="shared" ca="1" si="1"/>
        <v/>
      </c>
      <c r="AW30" s="58" t="s">
        <v>85</v>
      </c>
    </row>
    <row r="31" spans="1:49" s="51" customFormat="1" ht="30" customHeight="1">
      <c r="A31" s="51" t="s">
        <v>419</v>
      </c>
      <c r="B31" s="51" t="s">
        <v>420</v>
      </c>
      <c r="C31" s="51" t="s">
        <v>421</v>
      </c>
      <c r="D31" s="51" t="s">
        <v>396</v>
      </c>
      <c r="E31" s="51" t="s">
        <v>397</v>
      </c>
      <c r="F31" s="51" t="s">
        <v>422</v>
      </c>
      <c r="G31" s="51" t="s">
        <v>74</v>
      </c>
      <c r="H31" s="51" t="s">
        <v>75</v>
      </c>
      <c r="I31" s="51" t="s">
        <v>423</v>
      </c>
      <c r="J31" s="51" t="s">
        <v>114</v>
      </c>
      <c r="K31" s="51" t="s">
        <v>424</v>
      </c>
      <c r="L31" s="51" t="s">
        <v>425</v>
      </c>
      <c r="M31" s="52">
        <v>46047</v>
      </c>
      <c r="N31" s="52">
        <v>46128</v>
      </c>
      <c r="O31" s="52">
        <v>46128</v>
      </c>
      <c r="P31" s="52" t="s">
        <v>116</v>
      </c>
      <c r="Q31" s="52">
        <v>46219</v>
      </c>
      <c r="R31" s="51" t="s">
        <v>81</v>
      </c>
      <c r="S31" s="51" t="s">
        <v>82</v>
      </c>
      <c r="T31" s="51" t="s">
        <v>82</v>
      </c>
      <c r="U31" s="51" t="s">
        <v>163</v>
      </c>
      <c r="V31" s="53">
        <v>4</v>
      </c>
      <c r="W31" s="53">
        <v>5</v>
      </c>
      <c r="X31" s="53">
        <v>4</v>
      </c>
      <c r="Y31" s="53">
        <f t="shared" si="0"/>
        <v>13</v>
      </c>
      <c r="Z31" s="51" t="s">
        <v>141</v>
      </c>
      <c r="AA31" s="51" t="s">
        <v>82</v>
      </c>
      <c r="AB31" s="51" t="s">
        <v>130</v>
      </c>
      <c r="AC31" s="51" t="s">
        <v>104</v>
      </c>
      <c r="AD31" s="54" t="b">
        <v>0</v>
      </c>
      <c r="AE31" s="51" t="s">
        <v>82</v>
      </c>
      <c r="AF31" s="51" t="s">
        <v>88</v>
      </c>
      <c r="AG31" s="51" t="s">
        <v>118</v>
      </c>
      <c r="AK31" s="51" t="s">
        <v>426</v>
      </c>
      <c r="AL31" s="51" t="s">
        <v>91</v>
      </c>
      <c r="AM31" s="51" t="s">
        <v>427</v>
      </c>
      <c r="AN31" s="51" t="s">
        <v>428</v>
      </c>
      <c r="AO31" s="55" t="s">
        <v>429</v>
      </c>
      <c r="AP31" s="55" t="s">
        <v>430</v>
      </c>
      <c r="AQ31" s="55" t="s">
        <v>431</v>
      </c>
      <c r="AR31" s="56" t="b">
        <v>1</v>
      </c>
      <c r="AS31" s="54" t="b">
        <v>1</v>
      </c>
      <c r="AT31" s="54" t="b">
        <v>0</v>
      </c>
      <c r="AU31" s="51" t="s">
        <v>82</v>
      </c>
      <c r="AV31" s="51" t="str">
        <f t="shared" ca="1" si="1"/>
        <v/>
      </c>
      <c r="AW31" s="58" t="s">
        <v>85</v>
      </c>
    </row>
    <row r="32" spans="1:49" s="51" customFormat="1" ht="30" customHeight="1">
      <c r="A32" s="51" t="s">
        <v>432</v>
      </c>
      <c r="B32" s="51" t="s">
        <v>433</v>
      </c>
      <c r="C32" s="51" t="s">
        <v>434</v>
      </c>
      <c r="D32" s="51" t="s">
        <v>396</v>
      </c>
      <c r="E32" s="51" t="s">
        <v>397</v>
      </c>
      <c r="F32" s="51" t="s">
        <v>435</v>
      </c>
      <c r="G32" s="51" t="s">
        <v>74</v>
      </c>
      <c r="H32" s="51" t="s">
        <v>75</v>
      </c>
      <c r="I32" s="51" t="s">
        <v>436</v>
      </c>
      <c r="J32" s="51" t="s">
        <v>114</v>
      </c>
      <c r="K32" s="51" t="s">
        <v>424</v>
      </c>
      <c r="L32" s="51" t="s">
        <v>437</v>
      </c>
      <c r="M32" s="52">
        <v>46063</v>
      </c>
      <c r="N32" s="52">
        <v>46128</v>
      </c>
      <c r="O32" s="52">
        <v>46128</v>
      </c>
      <c r="P32" s="52" t="s">
        <v>116</v>
      </c>
      <c r="Q32" s="52">
        <v>46219</v>
      </c>
      <c r="R32" s="51" t="s">
        <v>81</v>
      </c>
      <c r="S32" s="51" t="s">
        <v>82</v>
      </c>
      <c r="T32" s="51" t="s">
        <v>83</v>
      </c>
      <c r="U32" s="51" t="s">
        <v>84</v>
      </c>
      <c r="V32" s="53">
        <v>4</v>
      </c>
      <c r="W32" s="53">
        <v>5</v>
      </c>
      <c r="X32" s="53">
        <v>4</v>
      </c>
      <c r="Y32" s="53">
        <f t="shared" si="0"/>
        <v>13</v>
      </c>
      <c r="Z32" s="51" t="s">
        <v>85</v>
      </c>
      <c r="AA32" s="51" t="s">
        <v>83</v>
      </c>
      <c r="AB32" s="51" t="s">
        <v>86</v>
      </c>
      <c r="AC32" s="51" t="s">
        <v>87</v>
      </c>
      <c r="AD32" s="54" t="b">
        <v>1</v>
      </c>
      <c r="AE32" s="51" t="s">
        <v>82</v>
      </c>
      <c r="AF32" s="51" t="s">
        <v>88</v>
      </c>
      <c r="AG32" s="51" t="s">
        <v>89</v>
      </c>
      <c r="AK32" s="51" t="s">
        <v>438</v>
      </c>
      <c r="AL32" s="51" t="s">
        <v>91</v>
      </c>
      <c r="AM32" s="51" t="s">
        <v>439</v>
      </c>
      <c r="AN32" s="51" t="s">
        <v>440</v>
      </c>
      <c r="AO32" s="55" t="s">
        <v>441</v>
      </c>
      <c r="AP32" s="55" t="s">
        <v>442</v>
      </c>
      <c r="AQ32" s="55" t="s">
        <v>443</v>
      </c>
      <c r="AR32" s="56" t="b">
        <v>1</v>
      </c>
      <c r="AS32" s="54" t="b">
        <v>1</v>
      </c>
      <c r="AT32" s="54" t="b">
        <v>0</v>
      </c>
      <c r="AU32" s="51" t="s">
        <v>97</v>
      </c>
      <c r="AV32" s="51" t="str">
        <f t="shared" ca="1" si="1"/>
        <v/>
      </c>
      <c r="AW32" s="58" t="s">
        <v>85</v>
      </c>
    </row>
    <row r="33" spans="1:49" s="51" customFormat="1" ht="30" customHeight="1">
      <c r="A33" s="51" t="s">
        <v>444</v>
      </c>
      <c r="B33" s="51" t="s">
        <v>445</v>
      </c>
      <c r="C33" s="51" t="s">
        <v>446</v>
      </c>
      <c r="D33" s="51" t="s">
        <v>396</v>
      </c>
      <c r="E33" s="51" t="s">
        <v>397</v>
      </c>
      <c r="F33" s="51" t="s">
        <v>228</v>
      </c>
      <c r="G33" s="51" t="s">
        <v>447</v>
      </c>
      <c r="H33" s="51" t="s">
        <v>286</v>
      </c>
      <c r="I33" s="51" t="s">
        <v>448</v>
      </c>
      <c r="J33" s="51" t="s">
        <v>309</v>
      </c>
      <c r="K33" s="51" t="s">
        <v>449</v>
      </c>
      <c r="L33" s="51" t="s">
        <v>450</v>
      </c>
      <c r="M33" s="52">
        <v>46128</v>
      </c>
      <c r="N33" s="52">
        <v>46128</v>
      </c>
      <c r="O33" s="52">
        <v>46128</v>
      </c>
      <c r="P33" s="52" t="s">
        <v>116</v>
      </c>
      <c r="Q33" s="52">
        <v>46219</v>
      </c>
      <c r="R33" s="51" t="s">
        <v>288</v>
      </c>
      <c r="S33" s="51" t="s">
        <v>83</v>
      </c>
      <c r="T33" s="51" t="s">
        <v>82</v>
      </c>
      <c r="U33" s="51" t="s">
        <v>234</v>
      </c>
      <c r="V33" s="53">
        <v>4</v>
      </c>
      <c r="W33" s="53">
        <v>5</v>
      </c>
      <c r="X33" s="53">
        <v>4</v>
      </c>
      <c r="Y33" s="53">
        <f t="shared" si="0"/>
        <v>13</v>
      </c>
      <c r="Z33" s="51" t="s">
        <v>141</v>
      </c>
      <c r="AA33" s="51" t="s">
        <v>83</v>
      </c>
      <c r="AB33" s="51" t="s">
        <v>130</v>
      </c>
      <c r="AC33" s="51" t="s">
        <v>87</v>
      </c>
      <c r="AD33" s="54" t="b">
        <v>0</v>
      </c>
      <c r="AE33" s="51" t="s">
        <v>234</v>
      </c>
      <c r="AF33" s="51" t="s">
        <v>235</v>
      </c>
      <c r="AG33" s="51" t="s">
        <v>89</v>
      </c>
      <c r="AL33" s="51" t="s">
        <v>290</v>
      </c>
      <c r="AM33" s="51" t="s">
        <v>451</v>
      </c>
      <c r="AN33" s="51" t="s">
        <v>452</v>
      </c>
      <c r="AO33" s="55" t="s">
        <v>453</v>
      </c>
      <c r="AP33" s="55" t="s">
        <v>454</v>
      </c>
      <c r="AQ33" s="55" t="s">
        <v>455</v>
      </c>
      <c r="AR33" s="56" t="b">
        <v>1</v>
      </c>
      <c r="AS33" s="54" t="b">
        <v>1</v>
      </c>
      <c r="AT33" s="54" t="b">
        <v>0</v>
      </c>
      <c r="AU33" s="51" t="s">
        <v>82</v>
      </c>
      <c r="AV33" s="51" t="str">
        <f t="shared" ca="1" si="1"/>
        <v/>
      </c>
      <c r="AW33" s="58" t="s">
        <v>680</v>
      </c>
    </row>
    <row r="34" spans="1:49" s="51" customFormat="1" ht="30" customHeight="1">
      <c r="A34" s="51" t="s">
        <v>456</v>
      </c>
      <c r="B34" s="51" t="s">
        <v>457</v>
      </c>
      <c r="C34" s="51" t="s">
        <v>458</v>
      </c>
      <c r="D34" s="51" t="s">
        <v>396</v>
      </c>
      <c r="E34" s="51" t="s">
        <v>397</v>
      </c>
      <c r="F34" s="51" t="s">
        <v>228</v>
      </c>
      <c r="G34" s="51" t="s">
        <v>447</v>
      </c>
      <c r="H34" s="51" t="s">
        <v>286</v>
      </c>
      <c r="I34" s="51" t="s">
        <v>459</v>
      </c>
      <c r="J34" s="51" t="s">
        <v>309</v>
      </c>
      <c r="K34" s="51" t="s">
        <v>460</v>
      </c>
      <c r="L34" s="51" t="s">
        <v>437</v>
      </c>
      <c r="M34" s="52">
        <v>46128</v>
      </c>
      <c r="N34" s="52">
        <v>46128</v>
      </c>
      <c r="O34" s="52">
        <v>46128</v>
      </c>
      <c r="P34" s="52" t="s">
        <v>116</v>
      </c>
      <c r="Q34" s="52">
        <v>46219</v>
      </c>
      <c r="R34" s="51" t="s">
        <v>288</v>
      </c>
      <c r="S34" s="51" t="s">
        <v>83</v>
      </c>
      <c r="T34" s="51" t="s">
        <v>82</v>
      </c>
      <c r="U34" s="51" t="s">
        <v>234</v>
      </c>
      <c r="V34" s="53">
        <v>4</v>
      </c>
      <c r="W34" s="53">
        <v>5</v>
      </c>
      <c r="X34" s="53">
        <v>4</v>
      </c>
      <c r="Y34" s="53">
        <f t="shared" ref="Y34:Y65" si="2">V34+W34+X34</f>
        <v>13</v>
      </c>
      <c r="Z34" s="51" t="s">
        <v>141</v>
      </c>
      <c r="AA34" s="51" t="s">
        <v>83</v>
      </c>
      <c r="AB34" s="51" t="s">
        <v>130</v>
      </c>
      <c r="AC34" s="51" t="s">
        <v>104</v>
      </c>
      <c r="AD34" s="54" t="b">
        <v>0</v>
      </c>
      <c r="AE34" s="51" t="s">
        <v>234</v>
      </c>
      <c r="AF34" s="51" t="s">
        <v>235</v>
      </c>
      <c r="AG34" s="51" t="s">
        <v>89</v>
      </c>
      <c r="AL34" s="51" t="s">
        <v>290</v>
      </c>
      <c r="AM34" s="51" t="s">
        <v>461</v>
      </c>
      <c r="AN34" s="51" t="s">
        <v>462</v>
      </c>
      <c r="AO34" s="55" t="s">
        <v>463</v>
      </c>
      <c r="AP34" s="55" t="s">
        <v>464</v>
      </c>
      <c r="AQ34" s="55" t="s">
        <v>465</v>
      </c>
      <c r="AR34" s="56" t="b">
        <v>1</v>
      </c>
      <c r="AS34" s="54" t="b">
        <v>1</v>
      </c>
      <c r="AT34" s="54" t="b">
        <v>0</v>
      </c>
      <c r="AU34" s="51" t="s">
        <v>82</v>
      </c>
      <c r="AV34" s="51" t="str">
        <f t="shared" ref="AV34:AV51" ca="1" si="3">IF(AND(Q34&lt;&gt;"",Q34&lt;=TODAY()),"Due","")</f>
        <v/>
      </c>
      <c r="AW34" s="58" t="s">
        <v>680</v>
      </c>
    </row>
    <row r="35" spans="1:49" s="51" customFormat="1" ht="30" customHeight="1">
      <c r="A35" s="51" t="s">
        <v>466</v>
      </c>
      <c r="B35" s="51" t="s">
        <v>467</v>
      </c>
      <c r="C35" s="51" t="s">
        <v>468</v>
      </c>
      <c r="D35" s="51" t="s">
        <v>396</v>
      </c>
      <c r="E35" s="51" t="s">
        <v>397</v>
      </c>
      <c r="F35" s="51" t="s">
        <v>228</v>
      </c>
      <c r="G35" s="51" t="s">
        <v>447</v>
      </c>
      <c r="H35" s="51" t="s">
        <v>286</v>
      </c>
      <c r="I35" s="51" t="s">
        <v>469</v>
      </c>
      <c r="J35" s="51" t="s">
        <v>309</v>
      </c>
      <c r="K35" s="51" t="s">
        <v>424</v>
      </c>
      <c r="L35" s="51" t="s">
        <v>425</v>
      </c>
      <c r="M35" s="52">
        <v>46128</v>
      </c>
      <c r="N35" s="52">
        <v>46128</v>
      </c>
      <c r="O35" s="52">
        <v>46128</v>
      </c>
      <c r="P35" s="52" t="s">
        <v>116</v>
      </c>
      <c r="Q35" s="52">
        <v>46219</v>
      </c>
      <c r="R35" s="51" t="s">
        <v>288</v>
      </c>
      <c r="S35" s="51" t="s">
        <v>83</v>
      </c>
      <c r="T35" s="51" t="s">
        <v>82</v>
      </c>
      <c r="U35" s="51" t="s">
        <v>234</v>
      </c>
      <c r="V35" s="53">
        <v>4</v>
      </c>
      <c r="W35" s="53">
        <v>5</v>
      </c>
      <c r="X35" s="53">
        <v>4</v>
      </c>
      <c r="Y35" s="53">
        <f t="shared" si="2"/>
        <v>13</v>
      </c>
      <c r="Z35" s="51" t="s">
        <v>141</v>
      </c>
      <c r="AA35" s="51" t="s">
        <v>83</v>
      </c>
      <c r="AB35" s="51" t="s">
        <v>130</v>
      </c>
      <c r="AC35" s="51" t="s">
        <v>104</v>
      </c>
      <c r="AD35" s="54" t="b">
        <v>0</v>
      </c>
      <c r="AE35" s="51" t="s">
        <v>234</v>
      </c>
      <c r="AF35" s="51" t="s">
        <v>235</v>
      </c>
      <c r="AG35" s="51" t="s">
        <v>89</v>
      </c>
      <c r="AL35" s="51" t="s">
        <v>290</v>
      </c>
      <c r="AM35" s="51" t="s">
        <v>470</v>
      </c>
      <c r="AN35" s="51" t="s">
        <v>471</v>
      </c>
      <c r="AO35" s="55" t="s">
        <v>472</v>
      </c>
      <c r="AP35" s="55" t="s">
        <v>314</v>
      </c>
      <c r="AQ35" s="55" t="s">
        <v>473</v>
      </c>
      <c r="AR35" s="56" t="b">
        <v>1</v>
      </c>
      <c r="AS35" s="54" t="b">
        <v>1</v>
      </c>
      <c r="AT35" s="54" t="b">
        <v>0</v>
      </c>
      <c r="AU35" s="51" t="s">
        <v>82</v>
      </c>
      <c r="AV35" s="51" t="str">
        <f t="shared" ca="1" si="3"/>
        <v/>
      </c>
      <c r="AW35" s="58" t="s">
        <v>680</v>
      </c>
    </row>
    <row r="36" spans="1:49" s="51" customFormat="1" ht="30" customHeight="1">
      <c r="A36" s="51" t="s">
        <v>474</v>
      </c>
      <c r="B36" s="51" t="s">
        <v>475</v>
      </c>
      <c r="C36" s="51" t="s">
        <v>476</v>
      </c>
      <c r="D36" s="51" t="s">
        <v>396</v>
      </c>
      <c r="E36" s="51" t="s">
        <v>397</v>
      </c>
      <c r="F36" s="51" t="s">
        <v>228</v>
      </c>
      <c r="G36" s="51" t="s">
        <v>447</v>
      </c>
      <c r="H36" s="51" t="s">
        <v>286</v>
      </c>
      <c r="I36" s="51" t="s">
        <v>477</v>
      </c>
      <c r="J36" s="51" t="s">
        <v>114</v>
      </c>
      <c r="K36" s="51" t="s">
        <v>231</v>
      </c>
      <c r="L36" s="51" t="s">
        <v>478</v>
      </c>
      <c r="M36" s="52">
        <v>46128</v>
      </c>
      <c r="N36" s="52">
        <v>46128</v>
      </c>
      <c r="O36" s="52"/>
      <c r="P36" s="52" t="s">
        <v>116</v>
      </c>
      <c r="Q36" s="52">
        <v>46219</v>
      </c>
      <c r="R36" s="51" t="s">
        <v>288</v>
      </c>
      <c r="S36" s="51" t="s">
        <v>83</v>
      </c>
      <c r="T36" s="51" t="s">
        <v>82</v>
      </c>
      <c r="U36" s="51" t="s">
        <v>163</v>
      </c>
      <c r="V36" s="53">
        <v>3</v>
      </c>
      <c r="W36" s="53">
        <v>4</v>
      </c>
      <c r="X36" s="53">
        <v>3</v>
      </c>
      <c r="Y36" s="53">
        <f t="shared" si="2"/>
        <v>10</v>
      </c>
      <c r="Z36" s="51" t="s">
        <v>141</v>
      </c>
      <c r="AA36" s="51" t="s">
        <v>82</v>
      </c>
      <c r="AB36" s="51" t="s">
        <v>173</v>
      </c>
      <c r="AC36" s="51" t="s">
        <v>104</v>
      </c>
      <c r="AD36" s="54" t="b">
        <v>0</v>
      </c>
      <c r="AE36" s="51" t="s">
        <v>82</v>
      </c>
      <c r="AF36" s="51" t="s">
        <v>235</v>
      </c>
      <c r="AG36" s="51" t="s">
        <v>118</v>
      </c>
      <c r="AL36" s="51" t="s">
        <v>290</v>
      </c>
      <c r="AM36" s="51" t="s">
        <v>479</v>
      </c>
      <c r="AN36" s="51" t="s">
        <v>480</v>
      </c>
      <c r="AO36" s="55" t="s">
        <v>481</v>
      </c>
      <c r="AP36" s="55" t="s">
        <v>482</v>
      </c>
      <c r="AQ36" s="55" t="s">
        <v>483</v>
      </c>
      <c r="AR36" s="56" t="b">
        <v>1</v>
      </c>
      <c r="AS36" s="54" t="b">
        <v>0</v>
      </c>
      <c r="AT36" s="54" t="b">
        <v>0</v>
      </c>
      <c r="AU36" s="51" t="s">
        <v>83</v>
      </c>
      <c r="AV36" s="51" t="str">
        <f t="shared" ca="1" si="3"/>
        <v/>
      </c>
      <c r="AW36" s="58" t="s">
        <v>680</v>
      </c>
    </row>
    <row r="37" spans="1:49" s="51" customFormat="1" ht="30" customHeight="1">
      <c r="A37" s="51" t="s">
        <v>484</v>
      </c>
      <c r="B37" s="51" t="s">
        <v>485</v>
      </c>
      <c r="C37" s="51" t="s">
        <v>486</v>
      </c>
      <c r="D37" s="51" t="s">
        <v>319</v>
      </c>
      <c r="E37" s="51" t="s">
        <v>205</v>
      </c>
      <c r="F37" s="51" t="s">
        <v>228</v>
      </c>
      <c r="G37" s="51" t="s">
        <v>447</v>
      </c>
      <c r="H37" s="51" t="s">
        <v>286</v>
      </c>
      <c r="I37" s="51" t="s">
        <v>76</v>
      </c>
      <c r="J37" s="51" t="s">
        <v>114</v>
      </c>
      <c r="K37" s="51" t="s">
        <v>78</v>
      </c>
      <c r="L37" s="51" t="s">
        <v>487</v>
      </c>
      <c r="M37" s="52">
        <v>46128</v>
      </c>
      <c r="N37" s="52">
        <v>46128</v>
      </c>
      <c r="O37" s="52">
        <v>46128</v>
      </c>
      <c r="P37" s="52" t="s">
        <v>274</v>
      </c>
      <c r="Q37" s="52">
        <v>46158</v>
      </c>
      <c r="R37" s="51" t="s">
        <v>288</v>
      </c>
      <c r="S37" s="51" t="s">
        <v>83</v>
      </c>
      <c r="T37" s="51" t="s">
        <v>82</v>
      </c>
      <c r="U37" s="51" t="s">
        <v>234</v>
      </c>
      <c r="V37" s="53">
        <v>4</v>
      </c>
      <c r="W37" s="53">
        <v>4</v>
      </c>
      <c r="X37" s="53">
        <v>5</v>
      </c>
      <c r="Y37" s="53">
        <f t="shared" si="2"/>
        <v>13</v>
      </c>
      <c r="Z37" s="51" t="s">
        <v>141</v>
      </c>
      <c r="AA37" s="51" t="s">
        <v>82</v>
      </c>
      <c r="AB37" s="51" t="s">
        <v>130</v>
      </c>
      <c r="AC37" s="51" t="s">
        <v>488</v>
      </c>
      <c r="AD37" s="54" t="b">
        <v>0</v>
      </c>
      <c r="AE37" s="51" t="s">
        <v>234</v>
      </c>
      <c r="AF37" s="51" t="s">
        <v>235</v>
      </c>
      <c r="AG37" s="51" t="s">
        <v>89</v>
      </c>
      <c r="AL37" s="51" t="s">
        <v>290</v>
      </c>
      <c r="AM37" s="51" t="s">
        <v>489</v>
      </c>
      <c r="AN37" s="51" t="s">
        <v>490</v>
      </c>
      <c r="AO37" s="55" t="s">
        <v>491</v>
      </c>
      <c r="AP37" s="55" t="s">
        <v>492</v>
      </c>
      <c r="AQ37" s="55" t="s">
        <v>493</v>
      </c>
      <c r="AR37" s="56" t="b">
        <v>1</v>
      </c>
      <c r="AS37" s="54" t="b">
        <v>1</v>
      </c>
      <c r="AT37" s="54" t="b">
        <v>0</v>
      </c>
      <c r="AU37" s="51" t="s">
        <v>82</v>
      </c>
      <c r="AV37" s="51" t="str">
        <f t="shared" ca="1" si="3"/>
        <v/>
      </c>
      <c r="AW37" s="58" t="s">
        <v>680</v>
      </c>
    </row>
    <row r="38" spans="1:49" s="51" customFormat="1" ht="30" customHeight="1">
      <c r="A38" s="51" t="s">
        <v>494</v>
      </c>
      <c r="B38" s="51" t="s">
        <v>495</v>
      </c>
      <c r="C38" s="51" t="s">
        <v>496</v>
      </c>
      <c r="D38" s="51" t="s">
        <v>319</v>
      </c>
      <c r="E38" s="51" t="s">
        <v>205</v>
      </c>
      <c r="F38" s="51" t="s">
        <v>228</v>
      </c>
      <c r="G38" s="51" t="s">
        <v>235</v>
      </c>
      <c r="H38" s="51" t="s">
        <v>286</v>
      </c>
      <c r="I38" s="51" t="s">
        <v>76</v>
      </c>
      <c r="J38" s="51" t="s">
        <v>114</v>
      </c>
      <c r="K38" s="51" t="s">
        <v>497</v>
      </c>
      <c r="L38" s="51" t="s">
        <v>498</v>
      </c>
      <c r="M38" s="52">
        <v>46128</v>
      </c>
      <c r="N38" s="52">
        <v>46128</v>
      </c>
      <c r="O38" s="52">
        <v>46128</v>
      </c>
      <c r="P38" s="52" t="s">
        <v>274</v>
      </c>
      <c r="Q38" s="52">
        <v>46158</v>
      </c>
      <c r="R38" s="51" t="s">
        <v>288</v>
      </c>
      <c r="S38" s="51" t="s">
        <v>83</v>
      </c>
      <c r="T38" s="51" t="s">
        <v>82</v>
      </c>
      <c r="U38" s="51" t="s">
        <v>234</v>
      </c>
      <c r="V38" s="53">
        <v>5</v>
      </c>
      <c r="W38" s="53">
        <v>5</v>
      </c>
      <c r="X38" s="53">
        <v>5</v>
      </c>
      <c r="Y38" s="53">
        <f t="shared" si="2"/>
        <v>15</v>
      </c>
      <c r="Z38" s="51" t="s">
        <v>141</v>
      </c>
      <c r="AA38" s="51" t="s">
        <v>83</v>
      </c>
      <c r="AB38" s="51" t="s">
        <v>805</v>
      </c>
      <c r="AC38" s="51" t="s">
        <v>499</v>
      </c>
      <c r="AD38" s="54" t="b">
        <v>0</v>
      </c>
      <c r="AE38" s="51" t="s">
        <v>234</v>
      </c>
      <c r="AF38" s="51" t="s">
        <v>235</v>
      </c>
      <c r="AG38" s="51" t="s">
        <v>289</v>
      </c>
      <c r="AL38" s="51" t="s">
        <v>290</v>
      </c>
      <c r="AM38" s="51" t="s">
        <v>500</v>
      </c>
      <c r="AN38" s="51" t="s">
        <v>501</v>
      </c>
      <c r="AO38" s="55" t="s">
        <v>502</v>
      </c>
      <c r="AP38" s="55" t="s">
        <v>240</v>
      </c>
      <c r="AQ38" s="55" t="s">
        <v>503</v>
      </c>
      <c r="AR38" s="56" t="b">
        <v>1</v>
      </c>
      <c r="AS38" s="54" t="b">
        <v>1</v>
      </c>
      <c r="AT38" s="54" t="b">
        <v>0</v>
      </c>
      <c r="AU38" s="51" t="s">
        <v>82</v>
      </c>
      <c r="AV38" s="51" t="str">
        <f t="shared" ca="1" si="3"/>
        <v/>
      </c>
      <c r="AW38" s="58" t="s">
        <v>680</v>
      </c>
    </row>
    <row r="39" spans="1:49" s="51" customFormat="1" ht="30" customHeight="1">
      <c r="A39" s="51" t="s">
        <v>504</v>
      </c>
      <c r="B39" s="51" t="s">
        <v>505</v>
      </c>
      <c r="C39" s="51" t="s">
        <v>506</v>
      </c>
      <c r="D39" s="51" t="s">
        <v>319</v>
      </c>
      <c r="E39" s="51" t="s">
        <v>205</v>
      </c>
      <c r="F39" s="51" t="s">
        <v>228</v>
      </c>
      <c r="G39" s="51" t="s">
        <v>235</v>
      </c>
      <c r="H39" s="51" t="s">
        <v>286</v>
      </c>
      <c r="I39" s="51" t="s">
        <v>76</v>
      </c>
      <c r="J39" s="51" t="s">
        <v>114</v>
      </c>
      <c r="K39" s="51" t="s">
        <v>507</v>
      </c>
      <c r="L39" s="51" t="s">
        <v>218</v>
      </c>
      <c r="M39" s="52">
        <v>46128</v>
      </c>
      <c r="N39" s="52">
        <v>46128</v>
      </c>
      <c r="O39" s="52">
        <v>46128</v>
      </c>
      <c r="P39" s="52" t="s">
        <v>274</v>
      </c>
      <c r="Q39" s="52">
        <v>46158</v>
      </c>
      <c r="R39" s="51" t="s">
        <v>288</v>
      </c>
      <c r="S39" s="51" t="s">
        <v>83</v>
      </c>
      <c r="T39" s="51" t="s">
        <v>82</v>
      </c>
      <c r="U39" s="51" t="s">
        <v>234</v>
      </c>
      <c r="V39" s="53">
        <v>4</v>
      </c>
      <c r="W39" s="53">
        <v>4</v>
      </c>
      <c r="X39" s="53">
        <v>5</v>
      </c>
      <c r="Y39" s="53">
        <f t="shared" si="2"/>
        <v>13</v>
      </c>
      <c r="Z39" s="51" t="s">
        <v>141</v>
      </c>
      <c r="AA39" s="51" t="s">
        <v>82</v>
      </c>
      <c r="AB39" s="51" t="s">
        <v>130</v>
      </c>
      <c r="AC39" s="51" t="s">
        <v>508</v>
      </c>
      <c r="AD39" s="54" t="b">
        <v>0</v>
      </c>
      <c r="AE39" s="51" t="s">
        <v>234</v>
      </c>
      <c r="AF39" s="51" t="s">
        <v>235</v>
      </c>
      <c r="AG39" s="51" t="s">
        <v>89</v>
      </c>
      <c r="AL39" s="51" t="s">
        <v>290</v>
      </c>
      <c r="AM39" s="51" t="s">
        <v>509</v>
      </c>
      <c r="AN39" s="51" t="s">
        <v>510</v>
      </c>
      <c r="AO39" s="55" t="s">
        <v>511</v>
      </c>
      <c r="AP39" s="55" t="s">
        <v>512</v>
      </c>
      <c r="AQ39" s="55" t="s">
        <v>513</v>
      </c>
      <c r="AR39" s="56" t="b">
        <v>1</v>
      </c>
      <c r="AS39" s="54" t="b">
        <v>1</v>
      </c>
      <c r="AT39" s="54" t="b">
        <v>0</v>
      </c>
      <c r="AU39" s="51" t="s">
        <v>82</v>
      </c>
      <c r="AV39" s="51" t="str">
        <f t="shared" ca="1" si="3"/>
        <v/>
      </c>
      <c r="AW39" s="58" t="s">
        <v>680</v>
      </c>
    </row>
    <row r="40" spans="1:49" s="51" customFormat="1" ht="30" customHeight="1">
      <c r="A40" s="51" t="s">
        <v>514</v>
      </c>
      <c r="B40" s="51" t="s">
        <v>515</v>
      </c>
      <c r="C40" s="51" t="s">
        <v>516</v>
      </c>
      <c r="D40" s="51" t="s">
        <v>319</v>
      </c>
      <c r="E40" s="51" t="s">
        <v>205</v>
      </c>
      <c r="F40" s="51" t="s">
        <v>228</v>
      </c>
      <c r="G40" s="51" t="s">
        <v>235</v>
      </c>
      <c r="H40" s="51" t="s">
        <v>286</v>
      </c>
      <c r="I40" s="51" t="s">
        <v>76</v>
      </c>
      <c r="J40" s="51" t="s">
        <v>114</v>
      </c>
      <c r="K40" s="51" t="s">
        <v>78</v>
      </c>
      <c r="L40" s="51" t="s">
        <v>517</v>
      </c>
      <c r="M40" s="52">
        <v>46128</v>
      </c>
      <c r="N40" s="52">
        <v>46128</v>
      </c>
      <c r="O40" s="52">
        <v>46128</v>
      </c>
      <c r="P40" s="52" t="s">
        <v>274</v>
      </c>
      <c r="Q40" s="52">
        <v>46158</v>
      </c>
      <c r="R40" s="51" t="s">
        <v>288</v>
      </c>
      <c r="S40" s="51" t="s">
        <v>83</v>
      </c>
      <c r="T40" s="51" t="s">
        <v>82</v>
      </c>
      <c r="U40" s="51" t="s">
        <v>234</v>
      </c>
      <c r="V40" s="53">
        <v>4</v>
      </c>
      <c r="W40" s="53">
        <v>4</v>
      </c>
      <c r="X40" s="53">
        <v>4</v>
      </c>
      <c r="Y40" s="53">
        <f t="shared" si="2"/>
        <v>12</v>
      </c>
      <c r="Z40" s="51" t="s">
        <v>141</v>
      </c>
      <c r="AA40" s="51" t="s">
        <v>82</v>
      </c>
      <c r="AB40" s="51" t="s">
        <v>130</v>
      </c>
      <c r="AC40" s="51" t="s">
        <v>488</v>
      </c>
      <c r="AD40" s="54" t="b">
        <v>0</v>
      </c>
      <c r="AE40" s="51" t="s">
        <v>234</v>
      </c>
      <c r="AF40" s="51" t="s">
        <v>235</v>
      </c>
      <c r="AG40" s="51" t="s">
        <v>89</v>
      </c>
      <c r="AL40" s="51" t="s">
        <v>290</v>
      </c>
      <c r="AM40" s="51" t="s">
        <v>518</v>
      </c>
      <c r="AN40" s="51" t="s">
        <v>519</v>
      </c>
      <c r="AO40" s="55" t="s">
        <v>520</v>
      </c>
      <c r="AP40" s="55" t="s">
        <v>521</v>
      </c>
      <c r="AQ40" s="55" t="s">
        <v>522</v>
      </c>
      <c r="AR40" s="56" t="b">
        <v>1</v>
      </c>
      <c r="AS40" s="54" t="b">
        <v>1</v>
      </c>
      <c r="AT40" s="54" t="b">
        <v>0</v>
      </c>
      <c r="AU40" s="51" t="s">
        <v>82</v>
      </c>
      <c r="AV40" s="51" t="str">
        <f t="shared" ca="1" si="3"/>
        <v/>
      </c>
      <c r="AW40" s="58" t="s">
        <v>680</v>
      </c>
    </row>
    <row r="41" spans="1:49" s="51" customFormat="1" ht="30" customHeight="1">
      <c r="A41" s="51" t="s">
        <v>523</v>
      </c>
      <c r="B41" s="51" t="s">
        <v>524</v>
      </c>
      <c r="C41" s="51" t="s">
        <v>525</v>
      </c>
      <c r="D41" s="51" t="s">
        <v>526</v>
      </c>
      <c r="E41" s="51" t="s">
        <v>527</v>
      </c>
      <c r="F41" s="51" t="s">
        <v>528</v>
      </c>
      <c r="G41" s="51" t="s">
        <v>74</v>
      </c>
      <c r="H41" s="51" t="s">
        <v>75</v>
      </c>
      <c r="I41" s="51" t="s">
        <v>76</v>
      </c>
      <c r="J41" s="51" t="s">
        <v>77</v>
      </c>
      <c r="K41" s="51" t="s">
        <v>368</v>
      </c>
      <c r="L41" s="51" t="s">
        <v>529</v>
      </c>
      <c r="M41" s="52">
        <v>46113</v>
      </c>
      <c r="N41" s="52">
        <v>46128</v>
      </c>
      <c r="O41" s="52">
        <v>46128</v>
      </c>
      <c r="P41" s="52" t="s">
        <v>80</v>
      </c>
      <c r="Q41" s="52">
        <v>46493</v>
      </c>
      <c r="R41" s="51" t="s">
        <v>81</v>
      </c>
      <c r="S41" s="51" t="s">
        <v>82</v>
      </c>
      <c r="T41" s="51" t="s">
        <v>83</v>
      </c>
      <c r="U41" s="51" t="s">
        <v>84</v>
      </c>
      <c r="V41" s="53">
        <v>3</v>
      </c>
      <c r="W41" s="53">
        <v>3</v>
      </c>
      <c r="X41" s="53">
        <v>4</v>
      </c>
      <c r="Y41" s="53">
        <f t="shared" si="2"/>
        <v>10</v>
      </c>
      <c r="Z41" s="51" t="s">
        <v>85</v>
      </c>
      <c r="AA41" s="51" t="s">
        <v>82</v>
      </c>
      <c r="AB41" s="51" t="s">
        <v>86</v>
      </c>
      <c r="AC41" s="51" t="s">
        <v>530</v>
      </c>
      <c r="AD41" s="54" t="b">
        <v>0</v>
      </c>
      <c r="AE41" s="51" t="s">
        <v>97</v>
      </c>
      <c r="AF41" s="51" t="s">
        <v>88</v>
      </c>
      <c r="AG41" s="51" t="s">
        <v>118</v>
      </c>
      <c r="AK41" s="51" t="s">
        <v>531</v>
      </c>
      <c r="AL41" s="51" t="s">
        <v>91</v>
      </c>
      <c r="AM41" s="51" t="s">
        <v>532</v>
      </c>
      <c r="AN41" s="51" t="s">
        <v>533</v>
      </c>
      <c r="AO41" s="55" t="s">
        <v>534</v>
      </c>
      <c r="AP41" s="55" t="s">
        <v>535</v>
      </c>
      <c r="AQ41" s="55" t="s">
        <v>536</v>
      </c>
      <c r="AR41" s="56" t="b">
        <v>1</v>
      </c>
      <c r="AS41" s="54" t="b">
        <v>0</v>
      </c>
      <c r="AT41" s="54" t="b">
        <v>0</v>
      </c>
      <c r="AU41" s="51" t="s">
        <v>97</v>
      </c>
      <c r="AV41" s="51" t="str">
        <f t="shared" ca="1" si="3"/>
        <v/>
      </c>
      <c r="AW41" s="58" t="s">
        <v>823</v>
      </c>
    </row>
    <row r="42" spans="1:49" s="51" customFormat="1" ht="30" customHeight="1">
      <c r="A42" s="51" t="s">
        <v>537</v>
      </c>
      <c r="B42" s="51" t="s">
        <v>538</v>
      </c>
      <c r="C42" s="51" t="s">
        <v>539</v>
      </c>
      <c r="D42" s="51" t="s">
        <v>526</v>
      </c>
      <c r="E42" s="51" t="s">
        <v>527</v>
      </c>
      <c r="F42" s="51" t="s">
        <v>540</v>
      </c>
      <c r="G42" s="51" t="s">
        <v>74</v>
      </c>
      <c r="H42" s="51" t="s">
        <v>75</v>
      </c>
      <c r="I42" s="51" t="s">
        <v>76</v>
      </c>
      <c r="J42" s="51" t="s">
        <v>114</v>
      </c>
      <c r="K42" s="51" t="s">
        <v>368</v>
      </c>
      <c r="L42" s="51" t="s">
        <v>529</v>
      </c>
      <c r="M42" s="52">
        <v>46101</v>
      </c>
      <c r="N42" s="52">
        <v>46128</v>
      </c>
      <c r="O42" s="52">
        <v>46128</v>
      </c>
      <c r="P42" s="52" t="s">
        <v>80</v>
      </c>
      <c r="Q42" s="52">
        <v>46493</v>
      </c>
      <c r="R42" s="51" t="s">
        <v>81</v>
      </c>
      <c r="S42" s="51" t="s">
        <v>82</v>
      </c>
      <c r="T42" s="51" t="s">
        <v>83</v>
      </c>
      <c r="U42" s="51" t="s">
        <v>84</v>
      </c>
      <c r="V42" s="53">
        <v>3</v>
      </c>
      <c r="W42" s="53">
        <v>3</v>
      </c>
      <c r="X42" s="53">
        <v>4</v>
      </c>
      <c r="Y42" s="53">
        <f t="shared" si="2"/>
        <v>10</v>
      </c>
      <c r="Z42" s="51" t="s">
        <v>85</v>
      </c>
      <c r="AA42" s="51" t="s">
        <v>82</v>
      </c>
      <c r="AB42" s="51" t="s">
        <v>86</v>
      </c>
      <c r="AC42" s="51" t="s">
        <v>530</v>
      </c>
      <c r="AD42" s="54" t="b">
        <v>0</v>
      </c>
      <c r="AE42" s="51" t="s">
        <v>97</v>
      </c>
      <c r="AF42" s="51" t="s">
        <v>88</v>
      </c>
      <c r="AG42" s="51" t="s">
        <v>118</v>
      </c>
      <c r="AK42" s="51" t="s">
        <v>541</v>
      </c>
      <c r="AL42" s="51" t="s">
        <v>91</v>
      </c>
      <c r="AM42" s="51" t="s">
        <v>542</v>
      </c>
      <c r="AN42" s="51" t="s">
        <v>543</v>
      </c>
      <c r="AO42" s="55" t="s">
        <v>544</v>
      </c>
      <c r="AP42" s="55" t="s">
        <v>545</v>
      </c>
      <c r="AQ42" s="55" t="s">
        <v>546</v>
      </c>
      <c r="AR42" s="56" t="b">
        <v>1</v>
      </c>
      <c r="AS42" s="54" t="b">
        <v>0</v>
      </c>
      <c r="AT42" s="54" t="b">
        <v>0</v>
      </c>
      <c r="AU42" s="51" t="s">
        <v>97</v>
      </c>
      <c r="AV42" s="51" t="str">
        <f t="shared" ca="1" si="3"/>
        <v/>
      </c>
      <c r="AW42" s="58" t="s">
        <v>823</v>
      </c>
    </row>
    <row r="43" spans="1:49" s="51" customFormat="1" ht="30" customHeight="1">
      <c r="A43" s="51" t="s">
        <v>547</v>
      </c>
      <c r="B43" s="51" t="s">
        <v>548</v>
      </c>
      <c r="C43" s="51" t="s">
        <v>549</v>
      </c>
      <c r="D43" s="51" t="s">
        <v>526</v>
      </c>
      <c r="E43" s="51" t="s">
        <v>527</v>
      </c>
      <c r="F43" s="51" t="s">
        <v>550</v>
      </c>
      <c r="G43" s="51" t="s">
        <v>74</v>
      </c>
      <c r="H43" s="51" t="s">
        <v>75</v>
      </c>
      <c r="I43" s="51" t="s">
        <v>76</v>
      </c>
      <c r="J43" s="51" t="s">
        <v>77</v>
      </c>
      <c r="K43" s="51" t="s">
        <v>551</v>
      </c>
      <c r="L43" s="51" t="s">
        <v>552</v>
      </c>
      <c r="M43" s="52">
        <v>45931</v>
      </c>
      <c r="N43" s="52">
        <v>46128</v>
      </c>
      <c r="O43" s="52">
        <v>46128</v>
      </c>
      <c r="P43" s="52" t="s">
        <v>80</v>
      </c>
      <c r="Q43" s="52">
        <v>46493</v>
      </c>
      <c r="R43" s="51" t="s">
        <v>81</v>
      </c>
      <c r="S43" s="51" t="s">
        <v>82</v>
      </c>
      <c r="T43" s="51" t="s">
        <v>82</v>
      </c>
      <c r="U43" s="51" t="s">
        <v>163</v>
      </c>
      <c r="V43" s="53">
        <v>3</v>
      </c>
      <c r="W43" s="53">
        <v>3</v>
      </c>
      <c r="X43" s="53">
        <v>3</v>
      </c>
      <c r="Y43" s="53">
        <f t="shared" si="2"/>
        <v>9</v>
      </c>
      <c r="Z43" s="51" t="s">
        <v>85</v>
      </c>
      <c r="AA43" s="51" t="s">
        <v>97</v>
      </c>
      <c r="AB43" s="51" t="s">
        <v>130</v>
      </c>
      <c r="AC43" s="51" t="s">
        <v>530</v>
      </c>
      <c r="AD43" s="54" t="b">
        <v>0</v>
      </c>
      <c r="AE43" s="51" t="s">
        <v>97</v>
      </c>
      <c r="AF43" s="51" t="s">
        <v>88</v>
      </c>
      <c r="AG43" s="51" t="s">
        <v>118</v>
      </c>
      <c r="AK43" s="51" t="s">
        <v>553</v>
      </c>
      <c r="AL43" s="51" t="s">
        <v>91</v>
      </c>
      <c r="AM43" s="51" t="s">
        <v>554</v>
      </c>
      <c r="AN43" s="51" t="s">
        <v>555</v>
      </c>
      <c r="AO43" s="55" t="s">
        <v>556</v>
      </c>
      <c r="AP43" s="55" t="s">
        <v>557</v>
      </c>
      <c r="AQ43" s="55" t="s">
        <v>558</v>
      </c>
      <c r="AR43" s="56" t="b">
        <v>1</v>
      </c>
      <c r="AS43" s="54" t="b">
        <v>0</v>
      </c>
      <c r="AT43" s="54" t="b">
        <v>0</v>
      </c>
      <c r="AU43" s="51" t="s">
        <v>82</v>
      </c>
      <c r="AV43" s="51" t="str">
        <f t="shared" ca="1" si="3"/>
        <v/>
      </c>
      <c r="AW43" s="58" t="s">
        <v>823</v>
      </c>
    </row>
    <row r="44" spans="1:49" s="51" customFormat="1" ht="30" customHeight="1">
      <c r="A44" s="51" t="s">
        <v>559</v>
      </c>
      <c r="B44" s="51" t="s">
        <v>560</v>
      </c>
      <c r="C44" s="51" t="s">
        <v>561</v>
      </c>
      <c r="D44" s="51" t="s">
        <v>526</v>
      </c>
      <c r="E44" s="51" t="s">
        <v>527</v>
      </c>
      <c r="F44" s="51" t="s">
        <v>562</v>
      </c>
      <c r="G44" s="51" t="s">
        <v>74</v>
      </c>
      <c r="H44" s="51" t="s">
        <v>75</v>
      </c>
      <c r="I44" s="51" t="s">
        <v>76</v>
      </c>
      <c r="J44" s="51" t="s">
        <v>128</v>
      </c>
      <c r="K44" s="51" t="s">
        <v>231</v>
      </c>
      <c r="L44" s="51" t="s">
        <v>563</v>
      </c>
      <c r="M44" s="52">
        <v>45976</v>
      </c>
      <c r="N44" s="52">
        <v>46128</v>
      </c>
      <c r="O44" s="52">
        <v>46128</v>
      </c>
      <c r="P44" s="52" t="s">
        <v>80</v>
      </c>
      <c r="Q44" s="52">
        <v>46493</v>
      </c>
      <c r="R44" s="51" t="s">
        <v>81</v>
      </c>
      <c r="S44" s="51" t="s">
        <v>82</v>
      </c>
      <c r="T44" s="51" t="s">
        <v>82</v>
      </c>
      <c r="U44" s="51" t="s">
        <v>163</v>
      </c>
      <c r="V44" s="53">
        <v>3</v>
      </c>
      <c r="W44" s="53">
        <v>3</v>
      </c>
      <c r="X44" s="53">
        <v>3</v>
      </c>
      <c r="Y44" s="53">
        <f t="shared" si="2"/>
        <v>9</v>
      </c>
      <c r="Z44" s="51" t="s">
        <v>85</v>
      </c>
      <c r="AA44" s="51" t="s">
        <v>97</v>
      </c>
      <c r="AB44" s="51" t="s">
        <v>130</v>
      </c>
      <c r="AC44" s="51" t="s">
        <v>530</v>
      </c>
      <c r="AD44" s="54" t="b">
        <v>0</v>
      </c>
      <c r="AE44" s="51" t="s">
        <v>97</v>
      </c>
      <c r="AF44" s="51" t="s">
        <v>88</v>
      </c>
      <c r="AG44" s="51" t="s">
        <v>118</v>
      </c>
      <c r="AK44" s="51" t="s">
        <v>564</v>
      </c>
      <c r="AL44" s="51" t="s">
        <v>91</v>
      </c>
      <c r="AM44" s="51" t="s">
        <v>565</v>
      </c>
      <c r="AN44" s="51" t="s">
        <v>566</v>
      </c>
      <c r="AO44" s="55" t="s">
        <v>567</v>
      </c>
      <c r="AP44" s="55" t="s">
        <v>568</v>
      </c>
      <c r="AQ44" s="55" t="s">
        <v>569</v>
      </c>
      <c r="AR44" s="56" t="b">
        <v>1</v>
      </c>
      <c r="AS44" s="54" t="b">
        <v>0</v>
      </c>
      <c r="AT44" s="54" t="b">
        <v>0</v>
      </c>
      <c r="AU44" s="51" t="s">
        <v>82</v>
      </c>
      <c r="AV44" s="51" t="str">
        <f t="shared" ca="1" si="3"/>
        <v/>
      </c>
      <c r="AW44" s="58" t="s">
        <v>823</v>
      </c>
    </row>
    <row r="45" spans="1:49" s="51" customFormat="1" ht="30" customHeight="1">
      <c r="A45" s="51" t="s">
        <v>570</v>
      </c>
      <c r="B45" s="51" t="s">
        <v>571</v>
      </c>
      <c r="C45" s="51" t="s">
        <v>572</v>
      </c>
      <c r="D45" s="51" t="s">
        <v>526</v>
      </c>
      <c r="E45" s="51" t="s">
        <v>527</v>
      </c>
      <c r="F45" s="51" t="s">
        <v>272</v>
      </c>
      <c r="G45" s="51" t="s">
        <v>74</v>
      </c>
      <c r="H45" s="51" t="s">
        <v>230</v>
      </c>
      <c r="I45" s="51" t="s">
        <v>76</v>
      </c>
      <c r="J45" s="51" t="s">
        <v>114</v>
      </c>
      <c r="K45" s="51" t="s">
        <v>368</v>
      </c>
      <c r="L45" s="51" t="s">
        <v>573</v>
      </c>
      <c r="M45" s="52">
        <v>46113</v>
      </c>
      <c r="N45" s="52">
        <v>46128</v>
      </c>
      <c r="O45" s="52">
        <v>46128</v>
      </c>
      <c r="P45" s="52" t="s">
        <v>274</v>
      </c>
      <c r="Q45" s="52">
        <v>46158</v>
      </c>
      <c r="R45" s="51" t="s">
        <v>81</v>
      </c>
      <c r="S45" s="51" t="s">
        <v>82</v>
      </c>
      <c r="T45" s="51" t="s">
        <v>83</v>
      </c>
      <c r="U45" s="51" t="s">
        <v>84</v>
      </c>
      <c r="V45" s="53">
        <v>4</v>
      </c>
      <c r="W45" s="53">
        <v>4</v>
      </c>
      <c r="X45" s="53">
        <v>4</v>
      </c>
      <c r="Y45" s="53">
        <f t="shared" si="2"/>
        <v>12</v>
      </c>
      <c r="Z45" s="51" t="s">
        <v>85</v>
      </c>
      <c r="AA45" s="51" t="s">
        <v>82</v>
      </c>
      <c r="AB45" s="51" t="s">
        <v>86</v>
      </c>
      <c r="AC45" s="51" t="s">
        <v>87</v>
      </c>
      <c r="AD45" s="54" t="b">
        <v>1</v>
      </c>
      <c r="AE45" s="51" t="s">
        <v>82</v>
      </c>
      <c r="AF45" s="51" t="s">
        <v>88</v>
      </c>
      <c r="AG45" s="51" t="s">
        <v>118</v>
      </c>
      <c r="AK45" s="51" t="s">
        <v>276</v>
      </c>
      <c r="AL45" s="51" t="s">
        <v>91</v>
      </c>
      <c r="AM45" s="51" t="s">
        <v>574</v>
      </c>
      <c r="AN45" s="51" t="s">
        <v>575</v>
      </c>
      <c r="AO45" s="55" t="s">
        <v>576</v>
      </c>
      <c r="AP45" s="55" t="s">
        <v>577</v>
      </c>
      <c r="AQ45" s="55" t="s">
        <v>578</v>
      </c>
      <c r="AR45" s="56" t="b">
        <v>1</v>
      </c>
      <c r="AS45" s="54" t="b">
        <v>1</v>
      </c>
      <c r="AT45" s="54" t="b">
        <v>0</v>
      </c>
      <c r="AU45" s="51" t="s">
        <v>97</v>
      </c>
      <c r="AV45" s="51" t="str">
        <f t="shared" ca="1" si="3"/>
        <v/>
      </c>
      <c r="AW45" s="58" t="s">
        <v>85</v>
      </c>
    </row>
    <row r="46" spans="1:49" s="51" customFormat="1" ht="30" customHeight="1">
      <c r="A46" s="51" t="s">
        <v>579</v>
      </c>
      <c r="B46" s="51" t="s">
        <v>580</v>
      </c>
      <c r="C46" s="51" t="s">
        <v>581</v>
      </c>
      <c r="D46" s="51" t="s">
        <v>582</v>
      </c>
      <c r="E46" s="51" t="s">
        <v>583</v>
      </c>
      <c r="F46" s="51" t="s">
        <v>584</v>
      </c>
      <c r="G46" s="51" t="s">
        <v>235</v>
      </c>
      <c r="H46" s="51" t="s">
        <v>585</v>
      </c>
      <c r="I46" s="51" t="s">
        <v>76</v>
      </c>
      <c r="J46" s="51" t="s">
        <v>183</v>
      </c>
      <c r="K46" s="51" t="s">
        <v>368</v>
      </c>
      <c r="L46" s="51" t="s">
        <v>586</v>
      </c>
      <c r="M46" s="52">
        <v>46128</v>
      </c>
      <c r="N46" s="52">
        <v>46128</v>
      </c>
      <c r="O46" s="52">
        <v>46128</v>
      </c>
      <c r="P46" s="52" t="s">
        <v>274</v>
      </c>
      <c r="Q46" s="52">
        <v>46158</v>
      </c>
      <c r="R46" s="51" t="s">
        <v>288</v>
      </c>
      <c r="S46" s="51" t="s">
        <v>83</v>
      </c>
      <c r="T46" s="51" t="s">
        <v>82</v>
      </c>
      <c r="U46" s="51" t="s">
        <v>234</v>
      </c>
      <c r="V46" s="53">
        <v>5</v>
      </c>
      <c r="W46" s="53">
        <v>4</v>
      </c>
      <c r="X46" s="53">
        <v>5</v>
      </c>
      <c r="Y46" s="53">
        <f t="shared" si="2"/>
        <v>14</v>
      </c>
      <c r="Z46" s="51" t="s">
        <v>141</v>
      </c>
      <c r="AA46" s="51" t="s">
        <v>83</v>
      </c>
      <c r="AB46" s="51" t="s">
        <v>130</v>
      </c>
      <c r="AC46" s="51" t="s">
        <v>587</v>
      </c>
      <c r="AD46" s="54" t="b">
        <v>0</v>
      </c>
      <c r="AE46" s="51" t="s">
        <v>234</v>
      </c>
      <c r="AF46" s="51" t="s">
        <v>235</v>
      </c>
      <c r="AG46" s="51" t="s">
        <v>89</v>
      </c>
      <c r="AK46" s="51" t="s">
        <v>588</v>
      </c>
      <c r="AL46" s="51" t="s">
        <v>91</v>
      </c>
      <c r="AM46" s="51" t="s">
        <v>589</v>
      </c>
      <c r="AN46" s="51" t="s">
        <v>590</v>
      </c>
      <c r="AO46" s="55" t="s">
        <v>591</v>
      </c>
      <c r="AP46" s="55" t="s">
        <v>592</v>
      </c>
      <c r="AQ46" s="55" t="s">
        <v>593</v>
      </c>
      <c r="AR46" s="56" t="b">
        <v>1</v>
      </c>
      <c r="AS46" s="54" t="b">
        <v>1</v>
      </c>
      <c r="AT46" s="54" t="b">
        <v>0</v>
      </c>
      <c r="AU46" s="51" t="s">
        <v>82</v>
      </c>
      <c r="AV46" s="51" t="str">
        <f t="shared" ca="1" si="3"/>
        <v/>
      </c>
      <c r="AW46" s="58" t="s">
        <v>680</v>
      </c>
    </row>
    <row r="47" spans="1:49" s="51" customFormat="1" ht="30" customHeight="1">
      <c r="A47" s="51" t="s">
        <v>594</v>
      </c>
      <c r="B47" s="51" t="s">
        <v>595</v>
      </c>
      <c r="C47" s="51" t="s">
        <v>596</v>
      </c>
      <c r="D47" s="51" t="s">
        <v>597</v>
      </c>
      <c r="E47" s="51" t="s">
        <v>583</v>
      </c>
      <c r="F47" s="51" t="s">
        <v>598</v>
      </c>
      <c r="G47" s="51" t="s">
        <v>229</v>
      </c>
      <c r="H47" s="51" t="s">
        <v>585</v>
      </c>
      <c r="I47" s="51" t="s">
        <v>76</v>
      </c>
      <c r="J47" s="51" t="s">
        <v>183</v>
      </c>
      <c r="K47" s="51" t="s">
        <v>368</v>
      </c>
      <c r="L47" s="51" t="s">
        <v>599</v>
      </c>
      <c r="M47" s="52">
        <v>46128</v>
      </c>
      <c r="N47" s="52">
        <v>46128</v>
      </c>
      <c r="O47" s="52">
        <v>46128</v>
      </c>
      <c r="P47" s="52" t="s">
        <v>600</v>
      </c>
      <c r="Q47" s="52">
        <v>46135</v>
      </c>
      <c r="R47" s="51" t="s">
        <v>288</v>
      </c>
      <c r="S47" s="51" t="s">
        <v>83</v>
      </c>
      <c r="T47" s="51" t="s">
        <v>97</v>
      </c>
      <c r="U47" s="51" t="s">
        <v>601</v>
      </c>
      <c r="V47" s="53">
        <v>4</v>
      </c>
      <c r="W47" s="53">
        <v>4</v>
      </c>
      <c r="X47" s="53">
        <v>4</v>
      </c>
      <c r="Y47" s="53">
        <f t="shared" si="2"/>
        <v>12</v>
      </c>
      <c r="Z47" s="51" t="s">
        <v>141</v>
      </c>
      <c r="AA47" s="51" t="s">
        <v>83</v>
      </c>
      <c r="AB47" s="51" t="s">
        <v>130</v>
      </c>
      <c r="AC47" s="51" t="s">
        <v>602</v>
      </c>
      <c r="AD47" s="54" t="b">
        <v>0</v>
      </c>
      <c r="AE47" s="51" t="s">
        <v>234</v>
      </c>
      <c r="AF47" s="51" t="s">
        <v>235</v>
      </c>
      <c r="AG47" s="51" t="s">
        <v>89</v>
      </c>
      <c r="AL47" s="51" t="s">
        <v>290</v>
      </c>
      <c r="AM47" s="51" t="s">
        <v>603</v>
      </c>
      <c r="AN47" s="51" t="s">
        <v>604</v>
      </c>
      <c r="AO47" s="55" t="s">
        <v>605</v>
      </c>
      <c r="AP47" s="55" t="s">
        <v>606</v>
      </c>
      <c r="AQ47" s="55" t="s">
        <v>607</v>
      </c>
      <c r="AR47" s="56" t="b">
        <v>1</v>
      </c>
      <c r="AS47" s="54" t="b">
        <v>1</v>
      </c>
      <c r="AT47" s="54" t="b">
        <v>0</v>
      </c>
      <c r="AU47" s="51" t="s">
        <v>83</v>
      </c>
      <c r="AV47" s="51" t="str">
        <f t="shared" ca="1" si="3"/>
        <v/>
      </c>
      <c r="AW47" s="58" t="s">
        <v>680</v>
      </c>
    </row>
    <row r="48" spans="1:49" s="51" customFormat="1" ht="30" customHeight="1">
      <c r="A48" s="51" t="s">
        <v>608</v>
      </c>
      <c r="B48" s="51" t="s">
        <v>609</v>
      </c>
      <c r="C48" s="51" t="s">
        <v>610</v>
      </c>
      <c r="D48" s="51" t="s">
        <v>611</v>
      </c>
      <c r="E48" s="51" t="s">
        <v>583</v>
      </c>
      <c r="F48" s="51" t="s">
        <v>228</v>
      </c>
      <c r="G48" s="51" t="s">
        <v>235</v>
      </c>
      <c r="H48" s="51" t="s">
        <v>286</v>
      </c>
      <c r="I48" s="51" t="s">
        <v>76</v>
      </c>
      <c r="J48" s="51" t="s">
        <v>309</v>
      </c>
      <c r="K48" s="51" t="s">
        <v>368</v>
      </c>
      <c r="L48" s="51" t="s">
        <v>612</v>
      </c>
      <c r="M48" s="52">
        <v>46128</v>
      </c>
      <c r="N48" s="52">
        <v>46128</v>
      </c>
      <c r="O48" s="52">
        <v>46128</v>
      </c>
      <c r="P48" s="52" t="s">
        <v>116</v>
      </c>
      <c r="Q48" s="52">
        <v>46219</v>
      </c>
      <c r="R48" s="51" t="s">
        <v>288</v>
      </c>
      <c r="S48" s="51" t="s">
        <v>83</v>
      </c>
      <c r="T48" s="51" t="s">
        <v>82</v>
      </c>
      <c r="U48" s="51" t="s">
        <v>234</v>
      </c>
      <c r="V48" s="53">
        <v>5</v>
      </c>
      <c r="W48" s="53">
        <v>5</v>
      </c>
      <c r="X48" s="53">
        <v>5</v>
      </c>
      <c r="Y48" s="53">
        <f t="shared" si="2"/>
        <v>15</v>
      </c>
      <c r="Z48" s="51" t="s">
        <v>141</v>
      </c>
      <c r="AA48" s="51" t="s">
        <v>83</v>
      </c>
      <c r="AB48" s="51" t="s">
        <v>130</v>
      </c>
      <c r="AC48" s="51" t="s">
        <v>530</v>
      </c>
      <c r="AD48" s="54" t="b">
        <v>0</v>
      </c>
      <c r="AE48" s="51" t="s">
        <v>234</v>
      </c>
      <c r="AF48" s="51" t="s">
        <v>235</v>
      </c>
      <c r="AG48" s="51" t="s">
        <v>89</v>
      </c>
      <c r="AL48" s="51" t="s">
        <v>290</v>
      </c>
      <c r="AM48" s="51" t="s">
        <v>613</v>
      </c>
      <c r="AN48" s="51" t="s">
        <v>614</v>
      </c>
      <c r="AO48" s="55" t="s">
        <v>615</v>
      </c>
      <c r="AP48" s="55" t="s">
        <v>616</v>
      </c>
      <c r="AQ48" s="55" t="s">
        <v>617</v>
      </c>
      <c r="AR48" s="56" t="b">
        <v>1</v>
      </c>
      <c r="AS48" s="54" t="b">
        <v>1</v>
      </c>
      <c r="AT48" s="54" t="b">
        <v>0</v>
      </c>
      <c r="AU48" s="51" t="s">
        <v>82</v>
      </c>
      <c r="AV48" s="51" t="str">
        <f t="shared" ca="1" si="3"/>
        <v/>
      </c>
      <c r="AW48" s="58" t="s">
        <v>680</v>
      </c>
    </row>
    <row r="49" spans="1:49" s="51" customFormat="1" ht="30" customHeight="1">
      <c r="A49" s="51" t="s">
        <v>618</v>
      </c>
      <c r="B49" s="51" t="s">
        <v>619</v>
      </c>
      <c r="C49" s="51" t="s">
        <v>620</v>
      </c>
      <c r="D49" s="51" t="s">
        <v>319</v>
      </c>
      <c r="E49" s="51" t="s">
        <v>621</v>
      </c>
      <c r="F49" s="51" t="s">
        <v>228</v>
      </c>
      <c r="G49" s="51" t="s">
        <v>235</v>
      </c>
      <c r="H49" s="51" t="s">
        <v>286</v>
      </c>
      <c r="I49" s="51" t="s">
        <v>76</v>
      </c>
      <c r="J49" s="51" t="s">
        <v>309</v>
      </c>
      <c r="K49" s="51" t="s">
        <v>231</v>
      </c>
      <c r="L49" s="51" t="s">
        <v>622</v>
      </c>
      <c r="M49" s="52">
        <v>46128</v>
      </c>
      <c r="N49" s="52">
        <v>46128</v>
      </c>
      <c r="O49" s="52">
        <v>46128</v>
      </c>
      <c r="P49" s="52" t="s">
        <v>274</v>
      </c>
      <c r="Q49" s="52">
        <v>46158</v>
      </c>
      <c r="R49" s="51" t="s">
        <v>288</v>
      </c>
      <c r="S49" s="51" t="s">
        <v>83</v>
      </c>
      <c r="T49" s="51" t="s">
        <v>82</v>
      </c>
      <c r="U49" s="51" t="s">
        <v>234</v>
      </c>
      <c r="V49" s="53">
        <v>5</v>
      </c>
      <c r="W49" s="53">
        <v>5</v>
      </c>
      <c r="X49" s="53">
        <v>5</v>
      </c>
      <c r="Y49" s="53">
        <f t="shared" si="2"/>
        <v>15</v>
      </c>
      <c r="Z49" s="51" t="s">
        <v>141</v>
      </c>
      <c r="AA49" s="51" t="s">
        <v>83</v>
      </c>
      <c r="AB49" s="51" t="s">
        <v>805</v>
      </c>
      <c r="AC49" s="51" t="s">
        <v>488</v>
      </c>
      <c r="AD49" s="54" t="b">
        <v>0</v>
      </c>
      <c r="AE49" s="51" t="s">
        <v>234</v>
      </c>
      <c r="AF49" s="51" t="s">
        <v>235</v>
      </c>
      <c r="AG49" s="51" t="s">
        <v>289</v>
      </c>
      <c r="AL49" s="51" t="s">
        <v>290</v>
      </c>
      <c r="AM49" s="51" t="s">
        <v>623</v>
      </c>
      <c r="AN49" s="51" t="s">
        <v>624</v>
      </c>
      <c r="AO49" s="55" t="s">
        <v>625</v>
      </c>
      <c r="AP49" s="55" t="s">
        <v>626</v>
      </c>
      <c r="AQ49" s="55" t="s">
        <v>627</v>
      </c>
      <c r="AR49" s="56" t="b">
        <v>1</v>
      </c>
      <c r="AS49" s="54" t="b">
        <v>1</v>
      </c>
      <c r="AT49" s="54" t="b">
        <v>0</v>
      </c>
      <c r="AU49" s="51" t="s">
        <v>82</v>
      </c>
      <c r="AV49" s="51" t="str">
        <f t="shared" ca="1" si="3"/>
        <v/>
      </c>
      <c r="AW49" s="58" t="s">
        <v>680</v>
      </c>
    </row>
    <row r="50" spans="1:49" s="51" customFormat="1" ht="30" customHeight="1">
      <c r="A50" s="51" t="s">
        <v>628</v>
      </c>
      <c r="B50" s="51" t="s">
        <v>629</v>
      </c>
      <c r="C50" s="51" t="s">
        <v>630</v>
      </c>
      <c r="D50" s="51" t="s">
        <v>319</v>
      </c>
      <c r="E50" s="51" t="s">
        <v>621</v>
      </c>
      <c r="F50" s="51" t="s">
        <v>228</v>
      </c>
      <c r="G50" s="51" t="s">
        <v>235</v>
      </c>
      <c r="H50" s="51" t="s">
        <v>286</v>
      </c>
      <c r="I50" s="51" t="s">
        <v>76</v>
      </c>
      <c r="J50" s="51" t="s">
        <v>183</v>
      </c>
      <c r="K50" s="51" t="s">
        <v>151</v>
      </c>
      <c r="L50" s="51" t="s">
        <v>631</v>
      </c>
      <c r="M50" s="52">
        <v>46128</v>
      </c>
      <c r="N50" s="52">
        <v>46128</v>
      </c>
      <c r="O50" s="52">
        <v>46128</v>
      </c>
      <c r="P50" s="52" t="s">
        <v>274</v>
      </c>
      <c r="Q50" s="52">
        <v>46158</v>
      </c>
      <c r="R50" s="51" t="s">
        <v>288</v>
      </c>
      <c r="S50" s="51" t="s">
        <v>83</v>
      </c>
      <c r="T50" s="51" t="s">
        <v>82</v>
      </c>
      <c r="U50" s="51" t="s">
        <v>234</v>
      </c>
      <c r="V50" s="53">
        <v>5</v>
      </c>
      <c r="W50" s="53">
        <v>5</v>
      </c>
      <c r="X50" s="53">
        <v>5</v>
      </c>
      <c r="Y50" s="53">
        <f t="shared" si="2"/>
        <v>15</v>
      </c>
      <c r="Z50" s="51" t="s">
        <v>141</v>
      </c>
      <c r="AA50" s="51" t="s">
        <v>83</v>
      </c>
      <c r="AB50" s="51" t="s">
        <v>805</v>
      </c>
      <c r="AC50" s="51" t="s">
        <v>632</v>
      </c>
      <c r="AD50" s="54" t="b">
        <v>0</v>
      </c>
      <c r="AE50" s="51" t="s">
        <v>234</v>
      </c>
      <c r="AF50" s="51" t="s">
        <v>235</v>
      </c>
      <c r="AG50" s="51" t="s">
        <v>289</v>
      </c>
      <c r="AL50" s="51" t="s">
        <v>290</v>
      </c>
      <c r="AM50" s="51" t="s">
        <v>633</v>
      </c>
      <c r="AN50" s="51" t="s">
        <v>634</v>
      </c>
      <c r="AO50" s="55" t="s">
        <v>635</v>
      </c>
      <c r="AP50" s="55" t="s">
        <v>636</v>
      </c>
      <c r="AQ50" s="55" t="s">
        <v>637</v>
      </c>
      <c r="AR50" s="56" t="b">
        <v>1</v>
      </c>
      <c r="AS50" s="54" t="b">
        <v>1</v>
      </c>
      <c r="AT50" s="54" t="b">
        <v>0</v>
      </c>
      <c r="AU50" s="51" t="s">
        <v>82</v>
      </c>
      <c r="AV50" s="51" t="str">
        <f t="shared" ca="1" si="3"/>
        <v/>
      </c>
      <c r="AW50" s="58" t="s">
        <v>680</v>
      </c>
    </row>
    <row r="51" spans="1:49" s="51" customFormat="1" ht="30" customHeight="1">
      <c r="A51" s="51" t="s">
        <v>638</v>
      </c>
      <c r="B51" s="51" t="s">
        <v>639</v>
      </c>
      <c r="C51" s="51" t="s">
        <v>640</v>
      </c>
      <c r="D51" s="51" t="s">
        <v>319</v>
      </c>
      <c r="E51" s="51" t="s">
        <v>621</v>
      </c>
      <c r="F51" s="51" t="s">
        <v>228</v>
      </c>
      <c r="G51" s="51" t="s">
        <v>235</v>
      </c>
      <c r="H51" s="51" t="s">
        <v>286</v>
      </c>
      <c r="I51" s="51" t="s">
        <v>76</v>
      </c>
      <c r="J51" s="51" t="s">
        <v>309</v>
      </c>
      <c r="K51" s="51" t="s">
        <v>299</v>
      </c>
      <c r="L51" s="51" t="s">
        <v>641</v>
      </c>
      <c r="M51" s="52">
        <v>46128</v>
      </c>
      <c r="N51" s="52">
        <v>46128</v>
      </c>
      <c r="O51" s="52">
        <v>46128</v>
      </c>
      <c r="P51" s="52" t="s">
        <v>274</v>
      </c>
      <c r="Q51" s="52">
        <v>46158</v>
      </c>
      <c r="R51" s="51" t="s">
        <v>288</v>
      </c>
      <c r="S51" s="51" t="s">
        <v>83</v>
      </c>
      <c r="T51" s="51" t="s">
        <v>82</v>
      </c>
      <c r="U51" s="51" t="s">
        <v>234</v>
      </c>
      <c r="V51" s="53">
        <v>5</v>
      </c>
      <c r="W51" s="53">
        <v>5</v>
      </c>
      <c r="X51" s="53">
        <v>5</v>
      </c>
      <c r="Y51" s="53">
        <f t="shared" si="2"/>
        <v>15</v>
      </c>
      <c r="Z51" s="51" t="s">
        <v>141</v>
      </c>
      <c r="AA51" s="51" t="s">
        <v>83</v>
      </c>
      <c r="AB51" s="51" t="s">
        <v>130</v>
      </c>
      <c r="AC51" s="51" t="s">
        <v>499</v>
      </c>
      <c r="AD51" s="54" t="b">
        <v>0</v>
      </c>
      <c r="AE51" s="51" t="s">
        <v>234</v>
      </c>
      <c r="AF51" s="51" t="s">
        <v>235</v>
      </c>
      <c r="AG51" s="51" t="s">
        <v>289</v>
      </c>
      <c r="AL51" s="51" t="s">
        <v>290</v>
      </c>
      <c r="AM51" s="51" t="s">
        <v>642</v>
      </c>
      <c r="AN51" s="51" t="s">
        <v>643</v>
      </c>
      <c r="AO51" s="55" t="s">
        <v>644</v>
      </c>
      <c r="AP51" s="55" t="s">
        <v>645</v>
      </c>
      <c r="AQ51" s="55" t="s">
        <v>646</v>
      </c>
      <c r="AR51" s="56" t="b">
        <v>1</v>
      </c>
      <c r="AS51" s="54" t="b">
        <v>1</v>
      </c>
      <c r="AT51" s="54" t="b">
        <v>0</v>
      </c>
      <c r="AU51" s="51" t="s">
        <v>82</v>
      </c>
      <c r="AV51" s="51" t="str">
        <f t="shared" ca="1" si="3"/>
        <v/>
      </c>
      <c r="AW51" s="58" t="s">
        <v>680</v>
      </c>
    </row>
    <row r="52" spans="1:49" s="51" customFormat="1" ht="30" customHeight="1">
      <c r="A52" s="59" t="s">
        <v>824</v>
      </c>
      <c r="B52" s="60" t="s">
        <v>825</v>
      </c>
      <c r="C52" s="60" t="s">
        <v>826</v>
      </c>
      <c r="D52" s="60" t="s">
        <v>777</v>
      </c>
      <c r="E52" s="60" t="s">
        <v>648</v>
      </c>
      <c r="F52" s="60" t="s">
        <v>228</v>
      </c>
      <c r="G52" s="60" t="s">
        <v>235</v>
      </c>
      <c r="H52" s="60" t="s">
        <v>802</v>
      </c>
      <c r="I52" s="60" t="s">
        <v>76</v>
      </c>
      <c r="J52" s="60" t="s">
        <v>183</v>
      </c>
      <c r="K52" s="60" t="s">
        <v>299</v>
      </c>
      <c r="L52" s="60" t="s">
        <v>827</v>
      </c>
      <c r="M52" s="61">
        <v>46128</v>
      </c>
      <c r="N52" s="61">
        <v>46128</v>
      </c>
      <c r="O52" s="61">
        <v>46128</v>
      </c>
      <c r="P52" s="60" t="s">
        <v>274</v>
      </c>
      <c r="Q52" s="61">
        <v>46158</v>
      </c>
      <c r="R52" s="60" t="s">
        <v>288</v>
      </c>
      <c r="S52" s="60" t="s">
        <v>83</v>
      </c>
      <c r="T52" s="60" t="s">
        <v>82</v>
      </c>
      <c r="U52" s="60" t="s">
        <v>234</v>
      </c>
      <c r="V52" s="62">
        <v>5</v>
      </c>
      <c r="W52" s="62">
        <v>5</v>
      </c>
      <c r="X52" s="62">
        <v>5</v>
      </c>
      <c r="Y52" s="63">
        <f>V52+W52+X52</f>
        <v>15</v>
      </c>
      <c r="Z52" s="60" t="s">
        <v>141</v>
      </c>
      <c r="AA52" s="60" t="s">
        <v>83</v>
      </c>
      <c r="AB52" s="60" t="s">
        <v>805</v>
      </c>
      <c r="AC52" s="60" t="s">
        <v>828</v>
      </c>
      <c r="AD52" s="60" t="b">
        <v>0</v>
      </c>
      <c r="AE52" s="60" t="s">
        <v>234</v>
      </c>
      <c r="AF52" s="60" t="s">
        <v>235</v>
      </c>
      <c r="AG52" s="60" t="s">
        <v>289</v>
      </c>
      <c r="AH52" s="60"/>
      <c r="AI52" s="60"/>
      <c r="AJ52" s="60"/>
      <c r="AK52" s="60"/>
      <c r="AL52" s="60" t="s">
        <v>290</v>
      </c>
      <c r="AM52" s="60" t="s">
        <v>829</v>
      </c>
      <c r="AN52" s="60" t="s">
        <v>830</v>
      </c>
      <c r="AO52" s="60" t="s">
        <v>831</v>
      </c>
      <c r="AP52" s="60" t="s">
        <v>832</v>
      </c>
      <c r="AQ52" s="60" t="s">
        <v>833</v>
      </c>
      <c r="AR52" s="60" t="b">
        <v>1</v>
      </c>
      <c r="AS52" s="60" t="b">
        <v>1</v>
      </c>
      <c r="AT52" s="60" t="b">
        <v>1</v>
      </c>
      <c r="AU52" s="60" t="s">
        <v>97</v>
      </c>
      <c r="AV52" s="60" t="str">
        <f ca="1">IF(AND(Q52&lt;&gt;"",Q52&lt;=TODAY()),"Due","")</f>
        <v/>
      </c>
      <c r="AW52" s="57" t="s">
        <v>680</v>
      </c>
    </row>
    <row r="53" spans="1:49" s="51" customFormat="1" ht="30" customHeight="1">
      <c r="A53" s="64" t="s">
        <v>834</v>
      </c>
      <c r="B53" s="65" t="s">
        <v>835</v>
      </c>
      <c r="C53" s="65" t="s">
        <v>836</v>
      </c>
      <c r="D53" s="65" t="s">
        <v>777</v>
      </c>
      <c r="E53" s="65" t="s">
        <v>648</v>
      </c>
      <c r="F53" s="65" t="s">
        <v>228</v>
      </c>
      <c r="G53" s="65" t="s">
        <v>235</v>
      </c>
      <c r="H53" s="65" t="s">
        <v>286</v>
      </c>
      <c r="I53" s="65" t="s">
        <v>76</v>
      </c>
      <c r="J53" s="65" t="s">
        <v>183</v>
      </c>
      <c r="K53" s="65" t="s">
        <v>299</v>
      </c>
      <c r="L53" s="65" t="s">
        <v>837</v>
      </c>
      <c r="M53" s="66">
        <v>46128</v>
      </c>
      <c r="N53" s="66">
        <v>46128</v>
      </c>
      <c r="O53" s="66">
        <v>46128</v>
      </c>
      <c r="P53" s="65" t="s">
        <v>274</v>
      </c>
      <c r="Q53" s="66">
        <v>46158</v>
      </c>
      <c r="R53" s="65" t="s">
        <v>288</v>
      </c>
      <c r="S53" s="65" t="s">
        <v>83</v>
      </c>
      <c r="T53" s="65" t="s">
        <v>82</v>
      </c>
      <c r="U53" s="65" t="s">
        <v>234</v>
      </c>
      <c r="V53" s="67">
        <v>5</v>
      </c>
      <c r="W53" s="67">
        <v>5</v>
      </c>
      <c r="X53" s="67">
        <v>5</v>
      </c>
      <c r="Y53" s="68">
        <f>V53+W53+X53</f>
        <v>15</v>
      </c>
      <c r="Z53" s="65" t="s">
        <v>141</v>
      </c>
      <c r="AA53" s="65" t="s">
        <v>83</v>
      </c>
      <c r="AB53" s="65" t="s">
        <v>130</v>
      </c>
      <c r="AC53" s="65" t="s">
        <v>828</v>
      </c>
      <c r="AD53" s="65" t="b">
        <v>0</v>
      </c>
      <c r="AE53" s="65" t="s">
        <v>234</v>
      </c>
      <c r="AF53" s="65" t="s">
        <v>235</v>
      </c>
      <c r="AG53" s="65" t="s">
        <v>89</v>
      </c>
      <c r="AH53" s="65"/>
      <c r="AI53" s="65"/>
      <c r="AJ53" s="65"/>
      <c r="AK53" s="65"/>
      <c r="AL53" s="65" t="s">
        <v>290</v>
      </c>
      <c r="AM53" s="65" t="s">
        <v>838</v>
      </c>
      <c r="AN53" s="65" t="s">
        <v>839</v>
      </c>
      <c r="AO53" s="65" t="s">
        <v>840</v>
      </c>
      <c r="AP53" s="65" t="s">
        <v>841</v>
      </c>
      <c r="AQ53" s="65" t="s">
        <v>842</v>
      </c>
      <c r="AR53" s="65" t="b">
        <v>1</v>
      </c>
      <c r="AS53" s="65" t="b">
        <v>1</v>
      </c>
      <c r="AT53" s="65" t="b">
        <v>1</v>
      </c>
      <c r="AU53" s="65" t="s">
        <v>97</v>
      </c>
      <c r="AV53" s="65" t="str">
        <f ca="1">IF(AND(Q53&lt;&gt;"",Q53&lt;=TODAY()),"Due","")</f>
        <v/>
      </c>
      <c r="AW53" s="58" t="s">
        <v>680</v>
      </c>
    </row>
    <row r="54" spans="1:49" s="51" customFormat="1" ht="30" customHeight="1">
      <c r="A54" s="64" t="s">
        <v>843</v>
      </c>
      <c r="B54" s="65" t="s">
        <v>844</v>
      </c>
      <c r="C54" s="65" t="s">
        <v>845</v>
      </c>
      <c r="D54" s="65" t="s">
        <v>777</v>
      </c>
      <c r="E54" s="65" t="s">
        <v>648</v>
      </c>
      <c r="F54" s="65" t="s">
        <v>228</v>
      </c>
      <c r="G54" s="65" t="s">
        <v>235</v>
      </c>
      <c r="H54" s="65" t="s">
        <v>286</v>
      </c>
      <c r="I54" s="65" t="s">
        <v>76</v>
      </c>
      <c r="J54" s="65" t="s">
        <v>183</v>
      </c>
      <c r="K54" s="65" t="s">
        <v>299</v>
      </c>
      <c r="L54" s="65" t="s">
        <v>827</v>
      </c>
      <c r="M54" s="66">
        <v>46128</v>
      </c>
      <c r="N54" s="66">
        <v>46128</v>
      </c>
      <c r="O54" s="66">
        <v>46128</v>
      </c>
      <c r="P54" s="65" t="s">
        <v>274</v>
      </c>
      <c r="Q54" s="66">
        <v>46158</v>
      </c>
      <c r="R54" s="65" t="s">
        <v>288</v>
      </c>
      <c r="S54" s="65" t="s">
        <v>83</v>
      </c>
      <c r="T54" s="65" t="s">
        <v>82</v>
      </c>
      <c r="U54" s="65" t="s">
        <v>234</v>
      </c>
      <c r="V54" s="67">
        <v>5</v>
      </c>
      <c r="W54" s="67">
        <v>5</v>
      </c>
      <c r="X54" s="67">
        <v>5</v>
      </c>
      <c r="Y54" s="68">
        <f>V54+W54+X54</f>
        <v>15</v>
      </c>
      <c r="Z54" s="65" t="s">
        <v>141</v>
      </c>
      <c r="AA54" s="65" t="s">
        <v>83</v>
      </c>
      <c r="AB54" s="65" t="s">
        <v>130</v>
      </c>
      <c r="AC54" s="65" t="s">
        <v>846</v>
      </c>
      <c r="AD54" s="65" t="b">
        <v>0</v>
      </c>
      <c r="AE54" s="65" t="s">
        <v>234</v>
      </c>
      <c r="AF54" s="65" t="s">
        <v>235</v>
      </c>
      <c r="AG54" s="65" t="s">
        <v>89</v>
      </c>
      <c r="AH54" s="65"/>
      <c r="AI54" s="65"/>
      <c r="AJ54" s="65"/>
      <c r="AK54" s="65"/>
      <c r="AL54" s="65" t="s">
        <v>290</v>
      </c>
      <c r="AM54" s="65" t="s">
        <v>847</v>
      </c>
      <c r="AN54" s="65" t="s">
        <v>848</v>
      </c>
      <c r="AO54" s="65" t="s">
        <v>849</v>
      </c>
      <c r="AP54" s="65" t="s">
        <v>850</v>
      </c>
      <c r="AQ54" s="65" t="s">
        <v>851</v>
      </c>
      <c r="AR54" s="65" t="b">
        <v>1</v>
      </c>
      <c r="AS54" s="65" t="b">
        <v>1</v>
      </c>
      <c r="AT54" s="65" t="b">
        <v>1</v>
      </c>
      <c r="AU54" s="65" t="s">
        <v>97</v>
      </c>
      <c r="AV54" s="65" t="str">
        <f ca="1">IF(AND(Q54&lt;&gt;"",Q54&lt;=TODAY()),"Due","")</f>
        <v/>
      </c>
      <c r="AW54" s="58" t="s">
        <v>680</v>
      </c>
    </row>
    <row r="55" spans="1:49" s="51" customFormat="1" ht="30" customHeight="1">
      <c r="A55" s="64" t="s">
        <v>852</v>
      </c>
      <c r="B55" s="65" t="s">
        <v>853</v>
      </c>
      <c r="C55" s="65" t="s">
        <v>854</v>
      </c>
      <c r="D55" s="65" t="s">
        <v>319</v>
      </c>
      <c r="E55" s="65" t="s">
        <v>649</v>
      </c>
      <c r="F55" s="65" t="s">
        <v>228</v>
      </c>
      <c r="G55" s="65" t="s">
        <v>235</v>
      </c>
      <c r="H55" s="65" t="s">
        <v>230</v>
      </c>
      <c r="I55" s="65" t="s">
        <v>76</v>
      </c>
      <c r="J55" s="65" t="s">
        <v>183</v>
      </c>
      <c r="K55" s="65" t="s">
        <v>368</v>
      </c>
      <c r="L55" s="65" t="s">
        <v>855</v>
      </c>
      <c r="M55" s="66">
        <v>46128</v>
      </c>
      <c r="N55" s="66">
        <v>46128</v>
      </c>
      <c r="O55" s="66">
        <v>46128</v>
      </c>
      <c r="P55" s="65" t="s">
        <v>116</v>
      </c>
      <c r="Q55" s="66">
        <v>46219</v>
      </c>
      <c r="R55" s="65" t="s">
        <v>288</v>
      </c>
      <c r="S55" s="65" t="s">
        <v>83</v>
      </c>
      <c r="T55" s="65" t="s">
        <v>82</v>
      </c>
      <c r="U55" s="65" t="s">
        <v>234</v>
      </c>
      <c r="V55" s="67">
        <v>5</v>
      </c>
      <c r="W55" s="67">
        <v>5</v>
      </c>
      <c r="X55" s="67">
        <v>5</v>
      </c>
      <c r="Y55" s="68">
        <f>V55+W55+X55</f>
        <v>15</v>
      </c>
      <c r="Z55" s="65" t="s">
        <v>141</v>
      </c>
      <c r="AA55" s="65" t="s">
        <v>83</v>
      </c>
      <c r="AB55" s="65" t="s">
        <v>130</v>
      </c>
      <c r="AC55" s="65" t="s">
        <v>499</v>
      </c>
      <c r="AD55" s="65" t="b">
        <v>0</v>
      </c>
      <c r="AE55" s="65" t="s">
        <v>234</v>
      </c>
      <c r="AF55" s="65" t="s">
        <v>235</v>
      </c>
      <c r="AG55" s="65" t="s">
        <v>118</v>
      </c>
      <c r="AH55" s="65"/>
      <c r="AI55" s="65"/>
      <c r="AJ55" s="65"/>
      <c r="AK55" s="65"/>
      <c r="AL55" s="65" t="s">
        <v>290</v>
      </c>
      <c r="AM55" s="65" t="s">
        <v>856</v>
      </c>
      <c r="AN55" s="65" t="s">
        <v>857</v>
      </c>
      <c r="AO55" s="65" t="s">
        <v>858</v>
      </c>
      <c r="AP55" s="65" t="s">
        <v>859</v>
      </c>
      <c r="AQ55" s="65" t="s">
        <v>860</v>
      </c>
      <c r="AR55" s="65" t="b">
        <v>1</v>
      </c>
      <c r="AS55" s="65" t="b">
        <v>1</v>
      </c>
      <c r="AT55" s="65" t="b">
        <v>1</v>
      </c>
      <c r="AU55" s="65" t="s">
        <v>97</v>
      </c>
      <c r="AV55" s="65" t="str">
        <f ca="1">IF(AND(Q55&lt;&gt;"",Q55&lt;=TODAY()),"Due","")</f>
        <v/>
      </c>
      <c r="AW55" s="58" t="s">
        <v>680</v>
      </c>
    </row>
    <row r="56" spans="1:49" s="51" customFormat="1" ht="30" customHeight="1">
      <c r="A56" s="64" t="s">
        <v>861</v>
      </c>
      <c r="B56" s="65" t="s">
        <v>862</v>
      </c>
      <c r="C56" s="65" t="s">
        <v>863</v>
      </c>
      <c r="D56" s="65" t="s">
        <v>319</v>
      </c>
      <c r="E56" s="65" t="s">
        <v>649</v>
      </c>
      <c r="F56" s="65" t="s">
        <v>228</v>
      </c>
      <c r="G56" s="65" t="s">
        <v>235</v>
      </c>
      <c r="H56" s="65" t="s">
        <v>230</v>
      </c>
      <c r="I56" s="65" t="s">
        <v>76</v>
      </c>
      <c r="J56" s="65" t="s">
        <v>183</v>
      </c>
      <c r="K56" s="65" t="s">
        <v>864</v>
      </c>
      <c r="L56" s="65" t="s">
        <v>865</v>
      </c>
      <c r="M56" s="66">
        <v>46128</v>
      </c>
      <c r="N56" s="66">
        <v>46128</v>
      </c>
      <c r="O56" s="66">
        <v>46128</v>
      </c>
      <c r="P56" s="65" t="s">
        <v>116</v>
      </c>
      <c r="Q56" s="66">
        <v>46219</v>
      </c>
      <c r="R56" s="65" t="s">
        <v>288</v>
      </c>
      <c r="S56" s="65" t="s">
        <v>83</v>
      </c>
      <c r="T56" s="65" t="s">
        <v>82</v>
      </c>
      <c r="U56" s="65" t="s">
        <v>234</v>
      </c>
      <c r="V56" s="67">
        <v>5</v>
      </c>
      <c r="W56" s="67">
        <v>5</v>
      </c>
      <c r="X56" s="67">
        <v>5</v>
      </c>
      <c r="Y56" s="68">
        <f>V56+W56+X56</f>
        <v>15</v>
      </c>
      <c r="Z56" s="65" t="s">
        <v>141</v>
      </c>
      <c r="AA56" s="65" t="s">
        <v>83</v>
      </c>
      <c r="AB56" s="65" t="s">
        <v>130</v>
      </c>
      <c r="AC56" s="65" t="s">
        <v>499</v>
      </c>
      <c r="AD56" s="65" t="b">
        <v>0</v>
      </c>
      <c r="AE56" s="65" t="s">
        <v>234</v>
      </c>
      <c r="AF56" s="65" t="s">
        <v>235</v>
      </c>
      <c r="AG56" s="65" t="s">
        <v>118</v>
      </c>
      <c r="AH56" s="65"/>
      <c r="AI56" s="65"/>
      <c r="AJ56" s="65"/>
      <c r="AK56" s="65"/>
      <c r="AL56" s="65" t="s">
        <v>290</v>
      </c>
      <c r="AM56" s="65" t="s">
        <v>866</v>
      </c>
      <c r="AN56" s="65" t="s">
        <v>867</v>
      </c>
      <c r="AO56" s="65" t="s">
        <v>868</v>
      </c>
      <c r="AP56" s="65" t="s">
        <v>869</v>
      </c>
      <c r="AQ56" s="65" t="s">
        <v>870</v>
      </c>
      <c r="AR56" s="65" t="b">
        <v>1</v>
      </c>
      <c r="AS56" s="65" t="b">
        <v>1</v>
      </c>
      <c r="AT56" s="65" t="b">
        <v>1</v>
      </c>
      <c r="AU56" s="65" t="s">
        <v>97</v>
      </c>
      <c r="AV56" s="65" t="str">
        <f ca="1">IF(AND(Q56&lt;&gt;"",Q56&lt;=TODAY()),"Due","")</f>
        <v/>
      </c>
      <c r="AW56" s="58" t="s">
        <v>680</v>
      </c>
    </row>
    <row r="57" spans="1:49" s="51" customFormat="1" ht="30" customHeight="1">
      <c r="A57" s="64" t="s">
        <v>871</v>
      </c>
      <c r="B57" s="65" t="s">
        <v>872</v>
      </c>
      <c r="C57" s="65" t="s">
        <v>873</v>
      </c>
      <c r="D57" s="65" t="s">
        <v>777</v>
      </c>
      <c r="E57" s="65" t="s">
        <v>648</v>
      </c>
      <c r="F57" s="65" t="s">
        <v>228</v>
      </c>
      <c r="G57" s="65" t="s">
        <v>235</v>
      </c>
      <c r="H57" s="65" t="s">
        <v>802</v>
      </c>
      <c r="I57" s="65" t="s">
        <v>76</v>
      </c>
      <c r="J57" s="65" t="s">
        <v>183</v>
      </c>
      <c r="K57" s="65" t="s">
        <v>299</v>
      </c>
      <c r="L57" s="65" t="s">
        <v>874</v>
      </c>
      <c r="M57" s="66">
        <v>46128</v>
      </c>
      <c r="N57" s="66">
        <v>46128</v>
      </c>
      <c r="O57" s="66">
        <v>46128</v>
      </c>
      <c r="P57" s="65" t="s">
        <v>274</v>
      </c>
      <c r="Q57" s="66">
        <v>46158</v>
      </c>
      <c r="R57" s="65" t="s">
        <v>288</v>
      </c>
      <c r="S57" s="65" t="s">
        <v>83</v>
      </c>
      <c r="T57" s="65" t="s">
        <v>82</v>
      </c>
      <c r="U57" s="65" t="s">
        <v>234</v>
      </c>
      <c r="V57" s="67">
        <v>5</v>
      </c>
      <c r="W57" s="67">
        <v>5</v>
      </c>
      <c r="X57" s="67">
        <v>5</v>
      </c>
      <c r="Y57" s="68">
        <f>V57+W57+X57</f>
        <v>15</v>
      </c>
      <c r="Z57" s="65" t="s">
        <v>141</v>
      </c>
      <c r="AA57" s="65" t="s">
        <v>83</v>
      </c>
      <c r="AB57" s="65" t="s">
        <v>130</v>
      </c>
      <c r="AC57" s="65" t="s">
        <v>828</v>
      </c>
      <c r="AD57" s="65" t="b">
        <v>0</v>
      </c>
      <c r="AE57" s="65" t="s">
        <v>234</v>
      </c>
      <c r="AF57" s="65" t="s">
        <v>235</v>
      </c>
      <c r="AG57" s="65" t="s">
        <v>289</v>
      </c>
      <c r="AH57" s="65"/>
      <c r="AI57" s="65"/>
      <c r="AJ57" s="65"/>
      <c r="AK57" s="65"/>
      <c r="AL57" s="65" t="s">
        <v>290</v>
      </c>
      <c r="AM57" s="65" t="s">
        <v>875</v>
      </c>
      <c r="AN57" s="65" t="s">
        <v>876</v>
      </c>
      <c r="AO57" s="65" t="s">
        <v>877</v>
      </c>
      <c r="AP57" s="65" t="s">
        <v>878</v>
      </c>
      <c r="AQ57" s="65" t="s">
        <v>879</v>
      </c>
      <c r="AR57" s="65" t="b">
        <v>1</v>
      </c>
      <c r="AS57" s="65" t="b">
        <v>1</v>
      </c>
      <c r="AT57" s="65" t="b">
        <v>1</v>
      </c>
      <c r="AU57" s="65" t="s">
        <v>97</v>
      </c>
      <c r="AV57" s="65" t="str">
        <f ca="1">IF(AND(Q57&lt;&gt;"",Q57&lt;=TODAY()),"Due","")</f>
        <v/>
      </c>
      <c r="AW57" s="58" t="s">
        <v>680</v>
      </c>
    </row>
    <row r="58" spans="1:49" s="51" customFormat="1" ht="30" customHeight="1">
      <c r="A58" s="64" t="s">
        <v>880</v>
      </c>
      <c r="B58" s="65" t="s">
        <v>881</v>
      </c>
      <c r="C58" s="65" t="s">
        <v>882</v>
      </c>
      <c r="D58" s="65" t="s">
        <v>777</v>
      </c>
      <c r="E58" s="65" t="s">
        <v>648</v>
      </c>
      <c r="F58" s="65" t="s">
        <v>228</v>
      </c>
      <c r="G58" s="65" t="s">
        <v>235</v>
      </c>
      <c r="H58" s="65" t="s">
        <v>286</v>
      </c>
      <c r="I58" s="65" t="s">
        <v>76</v>
      </c>
      <c r="J58" s="65" t="s">
        <v>183</v>
      </c>
      <c r="K58" s="65" t="s">
        <v>368</v>
      </c>
      <c r="L58" s="65" t="s">
        <v>883</v>
      </c>
      <c r="M58" s="66">
        <v>46128</v>
      </c>
      <c r="N58" s="66">
        <v>46128</v>
      </c>
      <c r="O58" s="66">
        <v>46128</v>
      </c>
      <c r="P58" s="65" t="s">
        <v>274</v>
      </c>
      <c r="Q58" s="66">
        <v>46158</v>
      </c>
      <c r="R58" s="65" t="s">
        <v>288</v>
      </c>
      <c r="S58" s="65" t="s">
        <v>83</v>
      </c>
      <c r="T58" s="65" t="s">
        <v>82</v>
      </c>
      <c r="U58" s="65" t="s">
        <v>234</v>
      </c>
      <c r="V58" s="67">
        <v>4</v>
      </c>
      <c r="W58" s="67">
        <v>5</v>
      </c>
      <c r="X58" s="67">
        <v>5</v>
      </c>
      <c r="Y58" s="68">
        <f>V58+W58+X58</f>
        <v>14</v>
      </c>
      <c r="Z58" s="65" t="s">
        <v>141</v>
      </c>
      <c r="AA58" s="65" t="s">
        <v>83</v>
      </c>
      <c r="AB58" s="65" t="s">
        <v>130</v>
      </c>
      <c r="AC58" s="65" t="s">
        <v>884</v>
      </c>
      <c r="AD58" s="65" t="b">
        <v>0</v>
      </c>
      <c r="AE58" s="65" t="s">
        <v>234</v>
      </c>
      <c r="AF58" s="65" t="s">
        <v>235</v>
      </c>
      <c r="AG58" s="65" t="s">
        <v>89</v>
      </c>
      <c r="AH58" s="65"/>
      <c r="AI58" s="65"/>
      <c r="AJ58" s="65"/>
      <c r="AK58" s="65"/>
      <c r="AL58" s="65" t="s">
        <v>290</v>
      </c>
      <c r="AM58" s="65" t="s">
        <v>885</v>
      </c>
      <c r="AN58" s="65" t="s">
        <v>886</v>
      </c>
      <c r="AO58" s="65" t="s">
        <v>887</v>
      </c>
      <c r="AP58" s="65" t="s">
        <v>888</v>
      </c>
      <c r="AQ58" s="65" t="s">
        <v>889</v>
      </c>
      <c r="AR58" s="65" t="b">
        <v>1</v>
      </c>
      <c r="AS58" s="65" t="b">
        <v>1</v>
      </c>
      <c r="AT58" s="65" t="b">
        <v>1</v>
      </c>
      <c r="AU58" s="65" t="s">
        <v>97</v>
      </c>
      <c r="AV58" s="65" t="str">
        <f ca="1">IF(AND(Q58&lt;&gt;"",Q58&lt;=TODAY()),"Due","")</f>
        <v/>
      </c>
      <c r="AW58" s="58" t="s">
        <v>680</v>
      </c>
    </row>
    <row r="59" spans="1:49" s="51" customFormat="1" ht="30" customHeight="1">
      <c r="A59" s="64" t="s">
        <v>890</v>
      </c>
      <c r="B59" s="65" t="s">
        <v>891</v>
      </c>
      <c r="C59" s="65" t="s">
        <v>892</v>
      </c>
      <c r="D59" s="65" t="s">
        <v>597</v>
      </c>
      <c r="E59" s="65" t="s">
        <v>649</v>
      </c>
      <c r="F59" s="65" t="s">
        <v>228</v>
      </c>
      <c r="G59" s="65" t="s">
        <v>447</v>
      </c>
      <c r="H59" s="65" t="s">
        <v>230</v>
      </c>
      <c r="I59" s="65" t="s">
        <v>76</v>
      </c>
      <c r="J59" s="65" t="s">
        <v>183</v>
      </c>
      <c r="K59" s="65" t="s">
        <v>231</v>
      </c>
      <c r="L59" s="65" t="s">
        <v>893</v>
      </c>
      <c r="M59" s="66">
        <v>46128</v>
      </c>
      <c r="N59" s="66">
        <v>46128</v>
      </c>
      <c r="O59" s="66">
        <v>46128</v>
      </c>
      <c r="P59" s="65" t="s">
        <v>600</v>
      </c>
      <c r="Q59" s="66">
        <v>46135</v>
      </c>
      <c r="R59" s="65" t="s">
        <v>288</v>
      </c>
      <c r="S59" s="65" t="s">
        <v>83</v>
      </c>
      <c r="T59" s="65" t="s">
        <v>97</v>
      </c>
      <c r="U59" s="65" t="s">
        <v>234</v>
      </c>
      <c r="V59" s="67">
        <v>5</v>
      </c>
      <c r="W59" s="67">
        <v>5</v>
      </c>
      <c r="X59" s="67">
        <v>4</v>
      </c>
      <c r="Y59" s="68">
        <f>V59+W59+X59</f>
        <v>14</v>
      </c>
      <c r="Z59" s="65" t="s">
        <v>141</v>
      </c>
      <c r="AA59" s="65" t="s">
        <v>83</v>
      </c>
      <c r="AB59" s="65" t="s">
        <v>130</v>
      </c>
      <c r="AC59" s="65" t="s">
        <v>894</v>
      </c>
      <c r="AD59" s="65" t="b">
        <v>0</v>
      </c>
      <c r="AE59" s="65" t="s">
        <v>234</v>
      </c>
      <c r="AF59" s="65" t="s">
        <v>601</v>
      </c>
      <c r="AG59" s="65" t="s">
        <v>118</v>
      </c>
      <c r="AH59" s="65"/>
      <c r="AI59" s="65"/>
      <c r="AJ59" s="65"/>
      <c r="AK59" s="65"/>
      <c r="AL59" s="65" t="s">
        <v>290</v>
      </c>
      <c r="AM59" s="65" t="s">
        <v>895</v>
      </c>
      <c r="AN59" s="65" t="s">
        <v>896</v>
      </c>
      <c r="AO59" s="65" t="s">
        <v>897</v>
      </c>
      <c r="AP59" s="65" t="s">
        <v>898</v>
      </c>
      <c r="AQ59" s="65" t="s">
        <v>899</v>
      </c>
      <c r="AR59" s="65" t="b">
        <v>1</v>
      </c>
      <c r="AS59" s="65" t="b">
        <v>1</v>
      </c>
      <c r="AT59" s="65" t="b">
        <v>0</v>
      </c>
      <c r="AU59" s="65" t="s">
        <v>82</v>
      </c>
      <c r="AV59" s="65" t="str">
        <f ca="1">IF(AND(Q59&lt;&gt;"",Q59&lt;=TODAY()),"Due","")</f>
        <v/>
      </c>
      <c r="AW59" s="58" t="s">
        <v>680</v>
      </c>
    </row>
    <row r="60" spans="1:49" s="51" customFormat="1" ht="30" customHeight="1">
      <c r="A60" s="64" t="s">
        <v>900</v>
      </c>
      <c r="B60" s="65" t="s">
        <v>901</v>
      </c>
      <c r="C60" s="65" t="s">
        <v>902</v>
      </c>
      <c r="D60" s="65" t="s">
        <v>597</v>
      </c>
      <c r="E60" s="65" t="s">
        <v>649</v>
      </c>
      <c r="F60" s="65" t="s">
        <v>228</v>
      </c>
      <c r="G60" s="65" t="s">
        <v>447</v>
      </c>
      <c r="H60" s="65" t="s">
        <v>230</v>
      </c>
      <c r="I60" s="65" t="s">
        <v>76</v>
      </c>
      <c r="J60" s="65" t="s">
        <v>183</v>
      </c>
      <c r="K60" s="65" t="s">
        <v>140</v>
      </c>
      <c r="L60" s="65" t="s">
        <v>903</v>
      </c>
      <c r="M60" s="66">
        <v>46128</v>
      </c>
      <c r="N60" s="66">
        <v>46128</v>
      </c>
      <c r="O60" s="66">
        <v>46128</v>
      </c>
      <c r="P60" s="65" t="s">
        <v>600</v>
      </c>
      <c r="Q60" s="66">
        <v>46135</v>
      </c>
      <c r="R60" s="65" t="s">
        <v>288</v>
      </c>
      <c r="S60" s="65" t="s">
        <v>83</v>
      </c>
      <c r="T60" s="65" t="s">
        <v>97</v>
      </c>
      <c r="U60" s="65" t="s">
        <v>234</v>
      </c>
      <c r="V60" s="67">
        <v>5</v>
      </c>
      <c r="W60" s="67">
        <v>5</v>
      </c>
      <c r="X60" s="67">
        <v>4</v>
      </c>
      <c r="Y60" s="68">
        <f>V60+W60+X60</f>
        <v>14</v>
      </c>
      <c r="Z60" s="65" t="s">
        <v>141</v>
      </c>
      <c r="AA60" s="65" t="s">
        <v>83</v>
      </c>
      <c r="AB60" s="65" t="s">
        <v>130</v>
      </c>
      <c r="AC60" s="65" t="s">
        <v>894</v>
      </c>
      <c r="AD60" s="65" t="b">
        <v>0</v>
      </c>
      <c r="AE60" s="65" t="s">
        <v>234</v>
      </c>
      <c r="AF60" s="65" t="s">
        <v>601</v>
      </c>
      <c r="AG60" s="65" t="s">
        <v>118</v>
      </c>
      <c r="AH60" s="65"/>
      <c r="AI60" s="65"/>
      <c r="AJ60" s="65"/>
      <c r="AK60" s="65"/>
      <c r="AL60" s="65" t="s">
        <v>290</v>
      </c>
      <c r="AM60" s="65" t="s">
        <v>904</v>
      </c>
      <c r="AN60" s="65" t="s">
        <v>905</v>
      </c>
      <c r="AO60" s="65" t="s">
        <v>906</v>
      </c>
      <c r="AP60" s="65" t="s">
        <v>907</v>
      </c>
      <c r="AQ60" s="65" t="s">
        <v>908</v>
      </c>
      <c r="AR60" s="65" t="b">
        <v>1</v>
      </c>
      <c r="AS60" s="65" t="b">
        <v>1</v>
      </c>
      <c r="AT60" s="65" t="b">
        <v>0</v>
      </c>
      <c r="AU60" s="65" t="s">
        <v>82</v>
      </c>
      <c r="AV60" s="65" t="str">
        <f ca="1">IF(AND(Q60&lt;&gt;"",Q60&lt;=TODAY()),"Due","")</f>
        <v/>
      </c>
      <c r="AW60" s="58" t="s">
        <v>680</v>
      </c>
    </row>
    <row r="61" spans="1:49" s="51" customFormat="1" ht="30" customHeight="1">
      <c r="A61" s="64" t="s">
        <v>909</v>
      </c>
      <c r="B61" s="65" t="s">
        <v>910</v>
      </c>
      <c r="C61" s="65" t="s">
        <v>911</v>
      </c>
      <c r="D61" s="65" t="s">
        <v>330</v>
      </c>
      <c r="E61" s="65" t="s">
        <v>649</v>
      </c>
      <c r="F61" s="65" t="s">
        <v>228</v>
      </c>
      <c r="G61" s="65" t="s">
        <v>235</v>
      </c>
      <c r="H61" s="65" t="s">
        <v>367</v>
      </c>
      <c r="I61" s="65" t="s">
        <v>76</v>
      </c>
      <c r="J61" s="65" t="s">
        <v>183</v>
      </c>
      <c r="K61" s="65" t="s">
        <v>368</v>
      </c>
      <c r="L61" s="65" t="s">
        <v>912</v>
      </c>
      <c r="M61" s="66">
        <v>46128</v>
      </c>
      <c r="N61" s="66">
        <v>46128</v>
      </c>
      <c r="O61" s="66">
        <v>46128</v>
      </c>
      <c r="P61" s="65" t="s">
        <v>116</v>
      </c>
      <c r="Q61" s="66">
        <v>46219</v>
      </c>
      <c r="R61" s="65" t="s">
        <v>288</v>
      </c>
      <c r="S61" s="65" t="s">
        <v>83</v>
      </c>
      <c r="T61" s="65" t="s">
        <v>82</v>
      </c>
      <c r="U61" s="65" t="s">
        <v>234</v>
      </c>
      <c r="V61" s="67">
        <v>5</v>
      </c>
      <c r="W61" s="67">
        <v>5</v>
      </c>
      <c r="X61" s="67">
        <v>5</v>
      </c>
      <c r="Y61" s="68">
        <f>V61+W61+X61</f>
        <v>15</v>
      </c>
      <c r="Z61" s="65" t="s">
        <v>141</v>
      </c>
      <c r="AA61" s="65" t="s">
        <v>83</v>
      </c>
      <c r="AB61" s="65" t="s">
        <v>130</v>
      </c>
      <c r="AC61" s="65" t="s">
        <v>913</v>
      </c>
      <c r="AD61" s="65" t="b">
        <v>0</v>
      </c>
      <c r="AE61" s="65" t="s">
        <v>234</v>
      </c>
      <c r="AF61" s="65" t="s">
        <v>235</v>
      </c>
      <c r="AG61" s="65" t="s">
        <v>89</v>
      </c>
      <c r="AH61" s="65"/>
      <c r="AI61" s="65"/>
      <c r="AJ61" s="65"/>
      <c r="AK61" s="65"/>
      <c r="AL61" s="65" t="s">
        <v>290</v>
      </c>
      <c r="AM61" s="65" t="s">
        <v>914</v>
      </c>
      <c r="AN61" s="65" t="s">
        <v>915</v>
      </c>
      <c r="AO61" s="65" t="s">
        <v>916</v>
      </c>
      <c r="AP61" s="65" t="s">
        <v>917</v>
      </c>
      <c r="AQ61" s="65" t="s">
        <v>918</v>
      </c>
      <c r="AR61" s="65" t="b">
        <v>1</v>
      </c>
      <c r="AS61" s="65" t="b">
        <v>1</v>
      </c>
      <c r="AT61" s="65" t="b">
        <v>1</v>
      </c>
      <c r="AU61" s="65" t="s">
        <v>97</v>
      </c>
      <c r="AV61" s="65" t="str">
        <f ca="1">IF(AND(Q61&lt;&gt;"",Q61&lt;=TODAY()),"Due","")</f>
        <v/>
      </c>
      <c r="AW61" s="58" t="s">
        <v>680</v>
      </c>
    </row>
    <row r="62" spans="1:49" s="51" customFormat="1" ht="30" customHeight="1">
      <c r="A62" s="64" t="s">
        <v>919</v>
      </c>
      <c r="B62" s="65" t="s">
        <v>920</v>
      </c>
      <c r="C62" s="65" t="s">
        <v>921</v>
      </c>
      <c r="D62" s="65" t="s">
        <v>330</v>
      </c>
      <c r="E62" s="65" t="s">
        <v>621</v>
      </c>
      <c r="F62" s="65" t="s">
        <v>922</v>
      </c>
      <c r="G62" s="65" t="s">
        <v>74</v>
      </c>
      <c r="H62" s="65" t="s">
        <v>75</v>
      </c>
      <c r="I62" s="65" t="s">
        <v>76</v>
      </c>
      <c r="J62" s="65" t="s">
        <v>128</v>
      </c>
      <c r="K62" s="65" t="s">
        <v>368</v>
      </c>
      <c r="L62" s="65" t="s">
        <v>923</v>
      </c>
      <c r="M62" s="66">
        <v>40544</v>
      </c>
      <c r="N62" s="66">
        <v>46128</v>
      </c>
      <c r="O62" s="66">
        <v>46128</v>
      </c>
      <c r="P62" s="65" t="s">
        <v>80</v>
      </c>
      <c r="Q62" s="66">
        <v>46493</v>
      </c>
      <c r="R62" s="65" t="s">
        <v>101</v>
      </c>
      <c r="S62" s="65" t="s">
        <v>102</v>
      </c>
      <c r="T62" s="65" t="s">
        <v>83</v>
      </c>
      <c r="U62" s="65" t="s">
        <v>84</v>
      </c>
      <c r="V62" s="67">
        <v>5</v>
      </c>
      <c r="W62" s="67">
        <v>4</v>
      </c>
      <c r="X62" s="67">
        <v>5</v>
      </c>
      <c r="Y62" s="68">
        <f>V62+W62+X62</f>
        <v>14</v>
      </c>
      <c r="Z62" s="65" t="s">
        <v>85</v>
      </c>
      <c r="AA62" s="65" t="s">
        <v>83</v>
      </c>
      <c r="AB62" s="65" t="s">
        <v>86</v>
      </c>
      <c r="AC62" s="65" t="s">
        <v>924</v>
      </c>
      <c r="AD62" s="65" t="b">
        <v>1</v>
      </c>
      <c r="AE62" s="65" t="s">
        <v>83</v>
      </c>
      <c r="AF62" s="65" t="s">
        <v>88</v>
      </c>
      <c r="AG62" s="65" t="s">
        <v>89</v>
      </c>
      <c r="AH62" s="65"/>
      <c r="AI62" s="65"/>
      <c r="AJ62" s="65"/>
      <c r="AK62" s="65"/>
      <c r="AL62" s="65" t="s">
        <v>91</v>
      </c>
      <c r="AM62" s="65" t="s">
        <v>925</v>
      </c>
      <c r="AN62" s="65" t="s">
        <v>926</v>
      </c>
      <c r="AO62" s="65" t="s">
        <v>927</v>
      </c>
      <c r="AP62" s="65" t="s">
        <v>928</v>
      </c>
      <c r="AQ62" s="65" t="s">
        <v>929</v>
      </c>
      <c r="AR62" s="65" t="b">
        <v>1</v>
      </c>
      <c r="AS62" s="65" t="b">
        <v>1</v>
      </c>
      <c r="AT62" s="65" t="b">
        <v>1</v>
      </c>
      <c r="AU62" s="65" t="s">
        <v>97</v>
      </c>
      <c r="AV62" s="65" t="str">
        <f ca="1">IF(AND(Q62&lt;&gt;"",Q62&lt;=TODAY()),"Due","")</f>
        <v/>
      </c>
      <c r="AW62" s="58" t="s">
        <v>85</v>
      </c>
    </row>
    <row r="63" spans="1:49" s="51" customFormat="1" ht="30" customHeight="1">
      <c r="A63" s="64" t="s">
        <v>930</v>
      </c>
      <c r="B63" s="65" t="s">
        <v>931</v>
      </c>
      <c r="C63" s="65" t="s">
        <v>932</v>
      </c>
      <c r="D63" s="65" t="s">
        <v>285</v>
      </c>
      <c r="E63" s="65" t="s">
        <v>649</v>
      </c>
      <c r="F63" s="65" t="s">
        <v>228</v>
      </c>
      <c r="G63" s="65" t="s">
        <v>235</v>
      </c>
      <c r="H63" s="65" t="s">
        <v>802</v>
      </c>
      <c r="I63" s="65" t="s">
        <v>76</v>
      </c>
      <c r="J63" s="65" t="s">
        <v>183</v>
      </c>
      <c r="K63" s="65" t="s">
        <v>368</v>
      </c>
      <c r="L63" s="65" t="s">
        <v>933</v>
      </c>
      <c r="M63" s="66">
        <v>46128</v>
      </c>
      <c r="N63" s="66">
        <v>46128</v>
      </c>
      <c r="O63" s="66">
        <v>46128</v>
      </c>
      <c r="P63" s="65" t="s">
        <v>274</v>
      </c>
      <c r="Q63" s="66">
        <v>46158</v>
      </c>
      <c r="R63" s="65" t="s">
        <v>288</v>
      </c>
      <c r="S63" s="65" t="s">
        <v>83</v>
      </c>
      <c r="T63" s="65" t="s">
        <v>82</v>
      </c>
      <c r="U63" s="65" t="s">
        <v>234</v>
      </c>
      <c r="V63" s="67">
        <v>5</v>
      </c>
      <c r="W63" s="67">
        <v>5</v>
      </c>
      <c r="X63" s="67">
        <v>5</v>
      </c>
      <c r="Y63" s="68">
        <f>V63+W63+X63</f>
        <v>15</v>
      </c>
      <c r="Z63" s="65" t="s">
        <v>141</v>
      </c>
      <c r="AA63" s="65" t="s">
        <v>83</v>
      </c>
      <c r="AB63" s="65" t="s">
        <v>130</v>
      </c>
      <c r="AC63" s="65" t="s">
        <v>913</v>
      </c>
      <c r="AD63" s="65" t="b">
        <v>0</v>
      </c>
      <c r="AE63" s="65" t="s">
        <v>234</v>
      </c>
      <c r="AF63" s="65" t="s">
        <v>235</v>
      </c>
      <c r="AG63" s="65" t="s">
        <v>89</v>
      </c>
      <c r="AH63" s="65"/>
      <c r="AI63" s="65"/>
      <c r="AJ63" s="65"/>
      <c r="AK63" s="65"/>
      <c r="AL63" s="65" t="s">
        <v>290</v>
      </c>
      <c r="AM63" s="65" t="s">
        <v>934</v>
      </c>
      <c r="AN63" s="65" t="s">
        <v>935</v>
      </c>
      <c r="AO63" s="65" t="s">
        <v>936</v>
      </c>
      <c r="AP63" s="65" t="s">
        <v>937</v>
      </c>
      <c r="AQ63" s="65" t="s">
        <v>938</v>
      </c>
      <c r="AR63" s="65" t="b">
        <v>1</v>
      </c>
      <c r="AS63" s="65" t="b">
        <v>1</v>
      </c>
      <c r="AT63" s="65" t="b">
        <v>1</v>
      </c>
      <c r="AU63" s="65" t="s">
        <v>97</v>
      </c>
      <c r="AV63" s="65" t="str">
        <f ca="1">IF(AND(Q63&lt;&gt;"",Q63&lt;=TODAY()),"Due","")</f>
        <v/>
      </c>
      <c r="AW63" s="58" t="s">
        <v>680</v>
      </c>
    </row>
    <row r="64" spans="1:49" s="51" customFormat="1" ht="30" customHeight="1">
      <c r="A64" s="64" t="s">
        <v>939</v>
      </c>
      <c r="B64" s="65" t="s">
        <v>940</v>
      </c>
      <c r="C64" s="65" t="s">
        <v>941</v>
      </c>
      <c r="D64" s="65" t="s">
        <v>319</v>
      </c>
      <c r="E64" s="65" t="s">
        <v>205</v>
      </c>
      <c r="F64" s="65" t="s">
        <v>228</v>
      </c>
      <c r="G64" s="65" t="s">
        <v>447</v>
      </c>
      <c r="H64" s="65" t="s">
        <v>286</v>
      </c>
      <c r="I64" s="65" t="s">
        <v>76</v>
      </c>
      <c r="J64" s="65" t="s">
        <v>114</v>
      </c>
      <c r="K64" s="65" t="s">
        <v>507</v>
      </c>
      <c r="L64" s="65" t="s">
        <v>942</v>
      </c>
      <c r="M64" s="66">
        <v>46128</v>
      </c>
      <c r="N64" s="66">
        <v>46128</v>
      </c>
      <c r="O64" s="66">
        <v>46128</v>
      </c>
      <c r="P64" s="65" t="s">
        <v>116</v>
      </c>
      <c r="Q64" s="66">
        <v>46219</v>
      </c>
      <c r="R64" s="65" t="s">
        <v>288</v>
      </c>
      <c r="S64" s="65" t="s">
        <v>83</v>
      </c>
      <c r="T64" s="65" t="s">
        <v>82</v>
      </c>
      <c r="U64" s="65" t="s">
        <v>234</v>
      </c>
      <c r="V64" s="67">
        <v>4</v>
      </c>
      <c r="W64" s="67">
        <v>5</v>
      </c>
      <c r="X64" s="67">
        <v>5</v>
      </c>
      <c r="Y64" s="68">
        <f>V64+W64+X64</f>
        <v>14</v>
      </c>
      <c r="Z64" s="65" t="s">
        <v>141</v>
      </c>
      <c r="AA64" s="65" t="s">
        <v>83</v>
      </c>
      <c r="AB64" s="65" t="s">
        <v>130</v>
      </c>
      <c r="AC64" s="65" t="s">
        <v>499</v>
      </c>
      <c r="AD64" s="65" t="b">
        <v>0</v>
      </c>
      <c r="AE64" s="65" t="s">
        <v>234</v>
      </c>
      <c r="AF64" s="65" t="s">
        <v>235</v>
      </c>
      <c r="AG64" s="65" t="s">
        <v>89</v>
      </c>
      <c r="AH64" s="65"/>
      <c r="AI64" s="65"/>
      <c r="AJ64" s="65"/>
      <c r="AK64" s="65"/>
      <c r="AL64" s="65" t="s">
        <v>290</v>
      </c>
      <c r="AM64" s="65" t="s">
        <v>943</v>
      </c>
      <c r="AN64" s="65" t="s">
        <v>944</v>
      </c>
      <c r="AO64" s="65" t="s">
        <v>945</v>
      </c>
      <c r="AP64" s="65" t="s">
        <v>946</v>
      </c>
      <c r="AQ64" s="65" t="s">
        <v>947</v>
      </c>
      <c r="AR64" s="65" t="b">
        <v>1</v>
      </c>
      <c r="AS64" s="65" t="b">
        <v>1</v>
      </c>
      <c r="AT64" s="65" t="b">
        <v>0</v>
      </c>
      <c r="AU64" s="65" t="s">
        <v>97</v>
      </c>
      <c r="AV64" s="65" t="str">
        <f ca="1">IF(AND(Q64&lt;&gt;"",Q64&lt;=TODAY()),"Due","")</f>
        <v/>
      </c>
      <c r="AW64" s="58" t="s">
        <v>680</v>
      </c>
    </row>
    <row r="65" spans="1:49" s="51" customFormat="1" ht="30" customHeight="1">
      <c r="A65" s="64" t="s">
        <v>948</v>
      </c>
      <c r="B65" s="65" t="s">
        <v>949</v>
      </c>
      <c r="C65" s="65" t="s">
        <v>950</v>
      </c>
      <c r="D65" s="65" t="s">
        <v>319</v>
      </c>
      <c r="E65" s="65" t="s">
        <v>205</v>
      </c>
      <c r="F65" s="65" t="s">
        <v>228</v>
      </c>
      <c r="G65" s="65" t="s">
        <v>447</v>
      </c>
      <c r="H65" s="65" t="s">
        <v>230</v>
      </c>
      <c r="I65" s="65" t="s">
        <v>76</v>
      </c>
      <c r="J65" s="65" t="s">
        <v>114</v>
      </c>
      <c r="K65" s="65" t="s">
        <v>507</v>
      </c>
      <c r="L65" s="65" t="s">
        <v>951</v>
      </c>
      <c r="M65" s="66">
        <v>46128</v>
      </c>
      <c r="N65" s="66">
        <v>46128</v>
      </c>
      <c r="O65" s="66">
        <v>46128</v>
      </c>
      <c r="P65" s="65" t="s">
        <v>116</v>
      </c>
      <c r="Q65" s="66">
        <v>46219</v>
      </c>
      <c r="R65" s="65" t="s">
        <v>288</v>
      </c>
      <c r="S65" s="65" t="s">
        <v>83</v>
      </c>
      <c r="T65" s="65" t="s">
        <v>82</v>
      </c>
      <c r="U65" s="65" t="s">
        <v>234</v>
      </c>
      <c r="V65" s="67">
        <v>4</v>
      </c>
      <c r="W65" s="67">
        <v>5</v>
      </c>
      <c r="X65" s="67">
        <v>5</v>
      </c>
      <c r="Y65" s="68">
        <f>V65+W65+X65</f>
        <v>14</v>
      </c>
      <c r="Z65" s="65" t="s">
        <v>141</v>
      </c>
      <c r="AA65" s="65" t="s">
        <v>82</v>
      </c>
      <c r="AB65" s="65" t="s">
        <v>130</v>
      </c>
      <c r="AC65" s="65" t="s">
        <v>488</v>
      </c>
      <c r="AD65" s="65" t="b">
        <v>0</v>
      </c>
      <c r="AE65" s="65" t="s">
        <v>234</v>
      </c>
      <c r="AF65" s="65" t="s">
        <v>235</v>
      </c>
      <c r="AG65" s="65" t="s">
        <v>118</v>
      </c>
      <c r="AH65" s="65"/>
      <c r="AI65" s="65"/>
      <c r="AJ65" s="65"/>
      <c r="AK65" s="65"/>
      <c r="AL65" s="65" t="s">
        <v>290</v>
      </c>
      <c r="AM65" s="65" t="s">
        <v>952</v>
      </c>
      <c r="AN65" s="65" t="s">
        <v>953</v>
      </c>
      <c r="AO65" s="65" t="s">
        <v>954</v>
      </c>
      <c r="AP65" s="65" t="s">
        <v>955</v>
      </c>
      <c r="AQ65" s="65" t="s">
        <v>956</v>
      </c>
      <c r="AR65" s="65" t="b">
        <v>1</v>
      </c>
      <c r="AS65" s="65" t="b">
        <v>1</v>
      </c>
      <c r="AT65" s="65" t="b">
        <v>0</v>
      </c>
      <c r="AU65" s="65" t="s">
        <v>97</v>
      </c>
      <c r="AV65" s="65" t="str">
        <f ca="1">IF(AND(Q65&lt;&gt;"",Q65&lt;=TODAY()),"Due","")</f>
        <v/>
      </c>
      <c r="AW65" s="58" t="s">
        <v>680</v>
      </c>
    </row>
    <row r="66" spans="1:49" s="51" customFormat="1" ht="30" customHeight="1">
      <c r="A66" s="64" t="s">
        <v>957</v>
      </c>
      <c r="B66" s="65" t="s">
        <v>958</v>
      </c>
      <c r="C66" s="65" t="s">
        <v>959</v>
      </c>
      <c r="D66" s="65" t="s">
        <v>319</v>
      </c>
      <c r="E66" s="65" t="s">
        <v>621</v>
      </c>
      <c r="F66" s="65" t="s">
        <v>228</v>
      </c>
      <c r="G66" s="65" t="s">
        <v>235</v>
      </c>
      <c r="H66" s="65" t="s">
        <v>286</v>
      </c>
      <c r="I66" s="65" t="s">
        <v>76</v>
      </c>
      <c r="J66" s="65" t="s">
        <v>183</v>
      </c>
      <c r="K66" s="65" t="s">
        <v>151</v>
      </c>
      <c r="L66" s="65" t="s">
        <v>960</v>
      </c>
      <c r="M66" s="66">
        <v>46128</v>
      </c>
      <c r="N66" s="66">
        <v>46128</v>
      </c>
      <c r="O66" s="66">
        <v>46128</v>
      </c>
      <c r="P66" s="65" t="s">
        <v>274</v>
      </c>
      <c r="Q66" s="66">
        <v>46158</v>
      </c>
      <c r="R66" s="65" t="s">
        <v>288</v>
      </c>
      <c r="S66" s="65" t="s">
        <v>83</v>
      </c>
      <c r="T66" s="65" t="s">
        <v>82</v>
      </c>
      <c r="U66" s="65" t="s">
        <v>234</v>
      </c>
      <c r="V66" s="67">
        <v>5</v>
      </c>
      <c r="W66" s="67">
        <v>5</v>
      </c>
      <c r="X66" s="67">
        <v>5</v>
      </c>
      <c r="Y66" s="68">
        <f>V66+W66+X66</f>
        <v>15</v>
      </c>
      <c r="Z66" s="65" t="s">
        <v>141</v>
      </c>
      <c r="AA66" s="65" t="s">
        <v>83</v>
      </c>
      <c r="AB66" s="65" t="s">
        <v>130</v>
      </c>
      <c r="AC66" s="65" t="s">
        <v>632</v>
      </c>
      <c r="AD66" s="65" t="b">
        <v>0</v>
      </c>
      <c r="AE66" s="65" t="s">
        <v>234</v>
      </c>
      <c r="AF66" s="65" t="s">
        <v>235</v>
      </c>
      <c r="AG66" s="65" t="s">
        <v>289</v>
      </c>
      <c r="AH66" s="65"/>
      <c r="AI66" s="65"/>
      <c r="AJ66" s="65"/>
      <c r="AK66" s="65"/>
      <c r="AL66" s="65" t="s">
        <v>290</v>
      </c>
      <c r="AM66" s="65" t="s">
        <v>961</v>
      </c>
      <c r="AN66" s="65" t="s">
        <v>962</v>
      </c>
      <c r="AO66" s="65" t="s">
        <v>963</v>
      </c>
      <c r="AP66" s="65" t="s">
        <v>964</v>
      </c>
      <c r="AQ66" s="65" t="s">
        <v>965</v>
      </c>
      <c r="AR66" s="65" t="b">
        <v>1</v>
      </c>
      <c r="AS66" s="65" t="b">
        <v>1</v>
      </c>
      <c r="AT66" s="65" t="b">
        <v>1</v>
      </c>
      <c r="AU66" s="65" t="s">
        <v>97</v>
      </c>
      <c r="AV66" s="65" t="str">
        <f ca="1">IF(AND(Q66&lt;&gt;"",Q66&lt;=TODAY()),"Due","")</f>
        <v/>
      </c>
      <c r="AW66" s="58" t="s">
        <v>680</v>
      </c>
    </row>
    <row r="67" spans="1:49" s="51" customFormat="1" ht="30" customHeight="1">
      <c r="A67" s="64" t="s">
        <v>966</v>
      </c>
      <c r="B67" s="65" t="s">
        <v>967</v>
      </c>
      <c r="C67" s="65" t="s">
        <v>968</v>
      </c>
      <c r="D67" s="65" t="s">
        <v>285</v>
      </c>
      <c r="E67" s="65" t="s">
        <v>331</v>
      </c>
      <c r="F67" s="65" t="s">
        <v>228</v>
      </c>
      <c r="G67" s="65" t="s">
        <v>235</v>
      </c>
      <c r="H67" s="65" t="s">
        <v>286</v>
      </c>
      <c r="I67" s="65" t="s">
        <v>76</v>
      </c>
      <c r="J67" s="65" t="s">
        <v>183</v>
      </c>
      <c r="K67" s="65" t="s">
        <v>368</v>
      </c>
      <c r="L67" s="65" t="s">
        <v>969</v>
      </c>
      <c r="M67" s="66">
        <v>46128</v>
      </c>
      <c r="N67" s="66">
        <v>46128</v>
      </c>
      <c r="O67" s="66">
        <v>46128</v>
      </c>
      <c r="P67" s="65" t="s">
        <v>116</v>
      </c>
      <c r="Q67" s="66">
        <v>46219</v>
      </c>
      <c r="R67" s="65" t="s">
        <v>288</v>
      </c>
      <c r="S67" s="65" t="s">
        <v>83</v>
      </c>
      <c r="T67" s="65" t="s">
        <v>82</v>
      </c>
      <c r="U67" s="65" t="s">
        <v>234</v>
      </c>
      <c r="V67" s="67">
        <v>4</v>
      </c>
      <c r="W67" s="67">
        <v>5</v>
      </c>
      <c r="X67" s="67">
        <v>5</v>
      </c>
      <c r="Y67" s="68">
        <f>V67+W67+X67</f>
        <v>14</v>
      </c>
      <c r="Z67" s="65" t="s">
        <v>141</v>
      </c>
      <c r="AA67" s="65" t="s">
        <v>83</v>
      </c>
      <c r="AB67" s="65" t="s">
        <v>130</v>
      </c>
      <c r="AC67" s="65" t="s">
        <v>233</v>
      </c>
      <c r="AD67" s="65" t="b">
        <v>0</v>
      </c>
      <c r="AE67" s="65" t="s">
        <v>234</v>
      </c>
      <c r="AF67" s="65" t="s">
        <v>235</v>
      </c>
      <c r="AG67" s="65" t="s">
        <v>289</v>
      </c>
      <c r="AH67" s="65"/>
      <c r="AI67" s="65"/>
      <c r="AJ67" s="65"/>
      <c r="AK67" s="65"/>
      <c r="AL67" s="65" t="s">
        <v>290</v>
      </c>
      <c r="AM67" s="65" t="s">
        <v>970</v>
      </c>
      <c r="AN67" s="65" t="s">
        <v>971</v>
      </c>
      <c r="AO67" s="65" t="s">
        <v>972</v>
      </c>
      <c r="AP67" s="65" t="s">
        <v>973</v>
      </c>
      <c r="AQ67" s="65" t="s">
        <v>974</v>
      </c>
      <c r="AR67" s="65" t="b">
        <v>1</v>
      </c>
      <c r="AS67" s="65" t="b">
        <v>1</v>
      </c>
      <c r="AT67" s="65" t="b">
        <v>1</v>
      </c>
      <c r="AU67" s="65" t="s">
        <v>97</v>
      </c>
      <c r="AV67" s="65" t="str">
        <f ca="1">IF(AND(Q67&lt;&gt;"",Q67&lt;=TODAY()),"Due","")</f>
        <v/>
      </c>
      <c r="AW67" s="58" t="s">
        <v>680</v>
      </c>
    </row>
    <row r="68" spans="1:49" s="51" customFormat="1" ht="30" customHeight="1">
      <c r="A68" s="69" t="s">
        <v>975</v>
      </c>
      <c r="B68" s="70" t="s">
        <v>976</v>
      </c>
      <c r="C68" s="70" t="s">
        <v>977</v>
      </c>
      <c r="D68" s="70" t="s">
        <v>319</v>
      </c>
      <c r="E68" s="70" t="s">
        <v>621</v>
      </c>
      <c r="F68" s="70" t="s">
        <v>228</v>
      </c>
      <c r="G68" s="70" t="s">
        <v>447</v>
      </c>
      <c r="H68" s="70" t="s">
        <v>286</v>
      </c>
      <c r="I68" s="70" t="s">
        <v>76</v>
      </c>
      <c r="J68" s="70" t="s">
        <v>183</v>
      </c>
      <c r="K68" s="70" t="s">
        <v>978</v>
      </c>
      <c r="L68" s="70" t="s">
        <v>923</v>
      </c>
      <c r="M68" s="71">
        <v>46128</v>
      </c>
      <c r="N68" s="71">
        <v>46128</v>
      </c>
      <c r="O68" s="71">
        <v>46128</v>
      </c>
      <c r="P68" s="70" t="s">
        <v>116</v>
      </c>
      <c r="Q68" s="71">
        <v>46219</v>
      </c>
      <c r="R68" s="70" t="s">
        <v>288</v>
      </c>
      <c r="S68" s="70" t="s">
        <v>83</v>
      </c>
      <c r="T68" s="70" t="s">
        <v>82</v>
      </c>
      <c r="U68" s="70" t="s">
        <v>234</v>
      </c>
      <c r="V68" s="72">
        <v>5</v>
      </c>
      <c r="W68" s="72">
        <v>5</v>
      </c>
      <c r="X68" s="72">
        <v>5</v>
      </c>
      <c r="Y68" s="73">
        <f>V68+W68+X68</f>
        <v>15</v>
      </c>
      <c r="Z68" s="70" t="s">
        <v>141</v>
      </c>
      <c r="AA68" s="70" t="s">
        <v>83</v>
      </c>
      <c r="AB68" s="70" t="s">
        <v>130</v>
      </c>
      <c r="AC68" s="70" t="s">
        <v>979</v>
      </c>
      <c r="AD68" s="70" t="b">
        <v>0</v>
      </c>
      <c r="AE68" s="70" t="s">
        <v>234</v>
      </c>
      <c r="AF68" s="70" t="s">
        <v>235</v>
      </c>
      <c r="AG68" s="70" t="s">
        <v>89</v>
      </c>
      <c r="AH68" s="70"/>
      <c r="AI68" s="70"/>
      <c r="AJ68" s="70"/>
      <c r="AK68" s="70"/>
      <c r="AL68" s="70" t="s">
        <v>290</v>
      </c>
      <c r="AM68" s="70" t="s">
        <v>980</v>
      </c>
      <c r="AN68" s="70" t="s">
        <v>981</v>
      </c>
      <c r="AO68" s="70" t="s">
        <v>982</v>
      </c>
      <c r="AP68" s="70" t="s">
        <v>983</v>
      </c>
      <c r="AQ68" s="70" t="s">
        <v>984</v>
      </c>
      <c r="AR68" s="70" t="b">
        <v>1</v>
      </c>
      <c r="AS68" s="70" t="b">
        <v>1</v>
      </c>
      <c r="AT68" s="70" t="b">
        <v>1</v>
      </c>
      <c r="AU68" s="70" t="s">
        <v>97</v>
      </c>
      <c r="AV68" s="70" t="str">
        <f ca="1">IF(AND(Q68&lt;&gt;"",Q68&lt;=TODAY()),"Due","")</f>
        <v/>
      </c>
      <c r="AW68" s="74" t="s">
        <v>680</v>
      </c>
    </row>
    <row r="70" spans="1:49" ht="15.75">
      <c r="A70" s="18" t="s">
        <v>1061</v>
      </c>
    </row>
    <row r="71" spans="1:49" ht="15">
      <c r="A71" s="10" t="s">
        <v>24</v>
      </c>
      <c r="B71" s="10" t="s">
        <v>647</v>
      </c>
      <c r="D71" s="10" t="s">
        <v>822</v>
      </c>
      <c r="E71" s="10" t="s">
        <v>647</v>
      </c>
      <c r="F71" s="10" t="s">
        <v>1057</v>
      </c>
    </row>
    <row r="72" spans="1:49">
      <c r="A72" s="14" t="s">
        <v>72</v>
      </c>
      <c r="B72" s="14">
        <f>COUNTIF(E2:E68,A72)</f>
        <v>12</v>
      </c>
      <c r="D72" s="11" t="s">
        <v>1058</v>
      </c>
      <c r="E72" s="14">
        <f>COUNTIF(AW2:AW68,"commodity")</f>
        <v>9</v>
      </c>
      <c r="F72" s="16">
        <f>IF(B82&gt;0,E72/B82,0)</f>
        <v>0.13432835820895522</v>
      </c>
    </row>
    <row r="73" spans="1:49">
      <c r="A73" s="14" t="s">
        <v>216</v>
      </c>
      <c r="B73" s="14">
        <f>COUNTIF(E2:E68,A73)</f>
        <v>9</v>
      </c>
      <c r="D73" s="12" t="s">
        <v>1059</v>
      </c>
      <c r="E73" s="14">
        <f>COUNTIF(AW2:AW68,"contextual")</f>
        <v>21</v>
      </c>
      <c r="F73" s="16">
        <f>IF(B82&gt;0,E73/B82,0)</f>
        <v>0.31343283582089554</v>
      </c>
    </row>
    <row r="74" spans="1:49" ht="15">
      <c r="A74" s="14" t="s">
        <v>331</v>
      </c>
      <c r="B74" s="14">
        <f>COUNTIF(E2:E68,A74)</f>
        <v>7</v>
      </c>
      <c r="D74" s="13" t="s">
        <v>1060</v>
      </c>
      <c r="E74" s="14">
        <f>COUNTIF(AW2:AW68,"proprietary")</f>
        <v>37</v>
      </c>
      <c r="F74" s="16">
        <f>IF(B82&gt;0,E74/B82,0)</f>
        <v>0.55223880597014929</v>
      </c>
    </row>
    <row r="75" spans="1:49" ht="15">
      <c r="A75" s="14" t="s">
        <v>397</v>
      </c>
      <c r="B75" s="14">
        <f>COUNTIF(E2:E68,A75)</f>
        <v>8</v>
      </c>
      <c r="D75" s="15" t="s">
        <v>1056</v>
      </c>
      <c r="E75" s="15">
        <f>SUM(E72:E74)</f>
        <v>67</v>
      </c>
      <c r="F75" s="17">
        <f>SUM(F72:F74)</f>
        <v>1</v>
      </c>
    </row>
    <row r="76" spans="1:49">
      <c r="A76" s="14" t="s">
        <v>205</v>
      </c>
      <c r="B76" s="14">
        <f>COUNTIF(E2:E68,A76)</f>
        <v>6</v>
      </c>
    </row>
    <row r="77" spans="1:49">
      <c r="A77" s="14" t="s">
        <v>527</v>
      </c>
      <c r="B77" s="14">
        <f>COUNTIF(E2:E68,A77)</f>
        <v>5</v>
      </c>
    </row>
    <row r="78" spans="1:49">
      <c r="A78" s="14" t="s">
        <v>583</v>
      </c>
      <c r="B78" s="14">
        <f>COUNTIF(E2:E68,A78)</f>
        <v>3</v>
      </c>
    </row>
    <row r="79" spans="1:49">
      <c r="A79" s="14" t="s">
        <v>621</v>
      </c>
      <c r="B79" s="14">
        <f>COUNTIF(E2:E68,A79)</f>
        <v>6</v>
      </c>
    </row>
    <row r="80" spans="1:49">
      <c r="A80" s="14" t="s">
        <v>648</v>
      </c>
      <c r="B80" s="14">
        <f>COUNTIF(E2:E68,A80)</f>
        <v>5</v>
      </c>
    </row>
    <row r="81" spans="1:2">
      <c r="A81" s="14" t="s">
        <v>649</v>
      </c>
      <c r="B81" s="14">
        <f>COUNTIF(E2:E68,A81)</f>
        <v>6</v>
      </c>
    </row>
    <row r="82" spans="1:2" ht="15">
      <c r="A82" s="15" t="s">
        <v>1056</v>
      </c>
      <c r="B82" s="15">
        <f>SUM(B72:B81)</f>
        <v>67</v>
      </c>
    </row>
  </sheetData>
  <conditionalFormatting sqref="V2:X68">
    <cfRule type="dataBar" priority="3">
      <dataBar>
        <cfvo type="min"/>
        <cfvo type="max"/>
        <color rgb="FFA02B93"/>
      </dataBar>
    </cfRule>
  </conditionalFormatting>
  <conditionalFormatting sqref="Y2:Y6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3">
    <dataValidation type="list" sqref="D2:D200" xr:uid="{00000000-0002-0000-0100-000000000000}">
      <formula1>"ka_benchmark,ka_market_map,ka_pattern,ka_failure_pattern,ka_framework,ka_thesis,ka_editorial_angle,ka_signal_digest,ka_internal_standard,ka_library_source"</formula1>
    </dataValidation>
    <dataValidation type="list" sqref="E2:E200" xr:uid="{00000000-0002-0000-0100-000001000000}">
      <formula1>"Core Market,Valuation &amp; Capital,Playbooks,Sectors,Investor Models,Macro,Editorial,Patterns,Failure,System"</formula1>
    </dataValidation>
    <dataValidation type="list" sqref="G2:G200" xr:uid="{00000000-0002-0000-0100-000002000000}">
      <formula1>"external,internal,derived,mixed"</formula1>
    </dataValidation>
    <dataValidation type="list" sqref="H2:H200" xr:uid="{00000000-0002-0000-0100-000003000000}">
      <formula1>"pdf,doc,note,sheet,slide,link,article,dataset,memo,bundle"</formula1>
    </dataValidation>
    <dataValidation type="list" sqref="P2:P200" xr:uid="{00000000-0002-0000-0100-000004000000}">
      <formula1>"daily,weekly,monthly,quarterly,annual,ad_hoc"</formula1>
    </dataValidation>
    <dataValidation type="list" sqref="R2:R200" xr:uid="{00000000-0002-0000-0100-000005000000}">
      <formula1>"live,recent,reference,archive"</formula1>
    </dataValidation>
    <dataValidation type="list" sqref="S2:S200" xr:uid="{00000000-0002-0000-0100-000006000000}">
      <formula1>"high,medium,low,timeless"</formula1>
    </dataValidation>
    <dataValidation type="list" sqref="T2:T200" xr:uid="{00000000-0002-0000-0100-000007000000}">
      <formula1>"high,medium,low,unknown"</formula1>
    </dataValidation>
    <dataValidation type="list" sqref="U2:U200" xr:uid="{00000000-0002-0000-0100-000008000000}">
      <formula1>"single_source,multi_source,internal_only,sensitive,unverified"</formula1>
    </dataValidation>
    <dataValidation type="list" sqref="AA2:AA200" xr:uid="{00000000-0002-0000-0100-000009000000}">
      <formula1>"high,medium,low"</formula1>
    </dataValidation>
    <dataValidation type="list" sqref="AB2:AB200" xr:uid="{00000000-0002-0000-0100-00000A000000}">
      <formula1>"backlog,triage,validated,converted,published,archived"</formula1>
    </dataValidation>
    <dataValidation type="list" sqref="AE2:AE200" xr:uid="{00000000-0002-0000-0100-00000B000000}">
      <formula1>"high,medium,low,internal_only"</formula1>
    </dataValidation>
    <dataValidation type="list" sqref="AF2:AF200" xr:uid="{00000000-0002-0000-0100-00000C000000}">
      <formula1>"public,internal,restricted,sensitive"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FE04-7EA1-453A-BAFE-A9985E5B4999}">
  <sheetPr>
    <tabColor rgb="FFDC2626"/>
  </sheetPr>
  <dimension ref="A1:P11"/>
  <sheetViews>
    <sheetView workbookViewId="0">
      <pane ySplit="1" topLeftCell="A7" activePane="bottomLeft" state="frozen"/>
      <selection pane="bottomLeft"/>
    </sheetView>
  </sheetViews>
  <sheetFormatPr defaultRowHeight="14.25"/>
  <cols>
    <col min="1" max="1" width="11.625" customWidth="1"/>
    <col min="2" max="2" width="13.375" customWidth="1"/>
    <col min="3" max="3" width="33.375" customWidth="1"/>
    <col min="4" max="4" width="20" customWidth="1"/>
    <col min="5" max="5" width="18.375" customWidth="1"/>
    <col min="6" max="6" width="15.875" customWidth="1"/>
    <col min="7" max="8" width="58.375" customWidth="1"/>
    <col min="9" max="9" width="50" customWidth="1"/>
    <col min="10" max="10" width="58.375" customWidth="1"/>
    <col min="11" max="12" width="33.375" customWidth="1"/>
    <col min="13" max="15" width="13.375" customWidth="1"/>
    <col min="16" max="16" width="15" customWidth="1"/>
  </cols>
  <sheetData>
    <row r="1" spans="1:16" ht="15">
      <c r="A1" s="79" t="s">
        <v>1089</v>
      </c>
      <c r="B1" s="79" t="s">
        <v>1090</v>
      </c>
      <c r="C1" s="79" t="s">
        <v>1091</v>
      </c>
      <c r="D1" s="79" t="s">
        <v>1092</v>
      </c>
      <c r="E1" s="79" t="s">
        <v>1093</v>
      </c>
      <c r="F1" s="79" t="s">
        <v>822</v>
      </c>
      <c r="G1" s="79" t="s">
        <v>1094</v>
      </c>
      <c r="H1" s="79" t="s">
        <v>1095</v>
      </c>
      <c r="I1" s="79" t="s">
        <v>1096</v>
      </c>
      <c r="J1" s="79" t="s">
        <v>1097</v>
      </c>
      <c r="K1" s="79" t="s">
        <v>54</v>
      </c>
      <c r="L1" s="79" t="s">
        <v>55</v>
      </c>
      <c r="M1" s="79" t="s">
        <v>1098</v>
      </c>
      <c r="N1" s="79" t="s">
        <v>39</v>
      </c>
      <c r="O1" s="79" t="s">
        <v>1099</v>
      </c>
      <c r="P1" s="79" t="s">
        <v>1100</v>
      </c>
    </row>
    <row r="2" spans="1:16" ht="80.099999999999994" customHeight="1">
      <c r="A2" s="84" t="s">
        <v>1101</v>
      </c>
      <c r="B2" s="80" t="s">
        <v>136</v>
      </c>
      <c r="C2" s="84" t="s">
        <v>1102</v>
      </c>
      <c r="D2" s="80" t="s">
        <v>1103</v>
      </c>
      <c r="E2" s="80" t="s">
        <v>72</v>
      </c>
      <c r="F2" s="86" t="s">
        <v>85</v>
      </c>
      <c r="G2" s="80" t="s">
        <v>1104</v>
      </c>
      <c r="H2" s="80" t="s">
        <v>1105</v>
      </c>
      <c r="I2" s="80" t="s">
        <v>1106</v>
      </c>
      <c r="J2" s="80" t="s">
        <v>1107</v>
      </c>
      <c r="K2" s="80" t="s">
        <v>1108</v>
      </c>
      <c r="L2" s="80" t="s">
        <v>745</v>
      </c>
      <c r="M2" s="80" t="s">
        <v>1109</v>
      </c>
      <c r="N2" s="80" t="s">
        <v>83</v>
      </c>
      <c r="O2" s="80" t="s">
        <v>795</v>
      </c>
      <c r="P2" s="81">
        <v>46128</v>
      </c>
    </row>
    <row r="3" spans="1:16" ht="80.099999999999994" customHeight="1">
      <c r="A3" s="85" t="s">
        <v>1110</v>
      </c>
      <c r="B3" s="82" t="s">
        <v>68</v>
      </c>
      <c r="C3" s="85" t="s">
        <v>1111</v>
      </c>
      <c r="D3" s="82" t="s">
        <v>1103</v>
      </c>
      <c r="E3" s="82" t="s">
        <v>72</v>
      </c>
      <c r="F3" s="87" t="s">
        <v>85</v>
      </c>
      <c r="G3" s="82" t="s">
        <v>1112</v>
      </c>
      <c r="H3" s="82" t="s">
        <v>1113</v>
      </c>
      <c r="I3" s="82" t="s">
        <v>1114</v>
      </c>
      <c r="J3" s="82" t="s">
        <v>1115</v>
      </c>
      <c r="K3" s="82" t="s">
        <v>1116</v>
      </c>
      <c r="L3" s="82" t="s">
        <v>745</v>
      </c>
      <c r="M3" s="82" t="s">
        <v>1109</v>
      </c>
      <c r="N3" s="82" t="s">
        <v>83</v>
      </c>
      <c r="O3" s="82" t="s">
        <v>795</v>
      </c>
      <c r="P3" s="83">
        <v>46128</v>
      </c>
    </row>
    <row r="4" spans="1:16" ht="80.099999999999994" customHeight="1">
      <c r="A4" s="84" t="s">
        <v>1117</v>
      </c>
      <c r="B4" s="80" t="s">
        <v>225</v>
      </c>
      <c r="C4" s="84" t="s">
        <v>1118</v>
      </c>
      <c r="D4" s="80" t="s">
        <v>1119</v>
      </c>
      <c r="E4" s="80" t="s">
        <v>216</v>
      </c>
      <c r="F4" s="86" t="s">
        <v>85</v>
      </c>
      <c r="G4" s="80" t="s">
        <v>1120</v>
      </c>
      <c r="H4" s="80" t="s">
        <v>1121</v>
      </c>
      <c r="I4" s="80" t="s">
        <v>1122</v>
      </c>
      <c r="J4" s="80" t="s">
        <v>1123</v>
      </c>
      <c r="K4" s="80" t="s">
        <v>1124</v>
      </c>
      <c r="L4" s="80" t="s">
        <v>1048</v>
      </c>
      <c r="M4" s="80" t="s">
        <v>1109</v>
      </c>
      <c r="N4" s="80" t="s">
        <v>83</v>
      </c>
      <c r="O4" s="80" t="s">
        <v>795</v>
      </c>
      <c r="P4" s="81">
        <v>46128</v>
      </c>
    </row>
    <row r="5" spans="1:16" ht="80.099999999999994" customHeight="1">
      <c r="A5" s="85" t="s">
        <v>1125</v>
      </c>
      <c r="B5" s="82" t="s">
        <v>628</v>
      </c>
      <c r="C5" s="85" t="s">
        <v>1126</v>
      </c>
      <c r="D5" s="82" t="s">
        <v>1127</v>
      </c>
      <c r="E5" s="82" t="s">
        <v>621</v>
      </c>
      <c r="F5" s="88" t="s">
        <v>680</v>
      </c>
      <c r="G5" s="82" t="s">
        <v>1128</v>
      </c>
      <c r="H5" s="82" t="s">
        <v>1129</v>
      </c>
      <c r="I5" s="82" t="s">
        <v>1130</v>
      </c>
      <c r="J5" s="82" t="s">
        <v>1131</v>
      </c>
      <c r="K5" s="82" t="s">
        <v>1132</v>
      </c>
      <c r="L5" s="82" t="s">
        <v>1133</v>
      </c>
      <c r="M5" s="82" t="s">
        <v>1134</v>
      </c>
      <c r="N5" s="82" t="s">
        <v>82</v>
      </c>
      <c r="O5" s="82" t="s">
        <v>795</v>
      </c>
      <c r="P5" s="83">
        <v>46128</v>
      </c>
    </row>
    <row r="6" spans="1:16" ht="80.099999999999994" customHeight="1">
      <c r="A6" s="84" t="s">
        <v>1135</v>
      </c>
      <c r="B6" s="80" t="s">
        <v>618</v>
      </c>
      <c r="C6" s="84" t="s">
        <v>1136</v>
      </c>
      <c r="D6" s="80" t="s">
        <v>1127</v>
      </c>
      <c r="E6" s="80" t="s">
        <v>621</v>
      </c>
      <c r="F6" s="89" t="s">
        <v>680</v>
      </c>
      <c r="G6" s="80" t="s">
        <v>1137</v>
      </c>
      <c r="H6" s="80" t="s">
        <v>1138</v>
      </c>
      <c r="I6" s="80" t="s">
        <v>1139</v>
      </c>
      <c r="J6" s="80" t="s">
        <v>1140</v>
      </c>
      <c r="K6" s="80" t="s">
        <v>1141</v>
      </c>
      <c r="L6" s="80" t="s">
        <v>1040</v>
      </c>
      <c r="M6" s="80" t="s">
        <v>1134</v>
      </c>
      <c r="N6" s="80" t="s">
        <v>82</v>
      </c>
      <c r="O6" s="80" t="s">
        <v>795</v>
      </c>
      <c r="P6" s="81">
        <v>46128</v>
      </c>
    </row>
    <row r="7" spans="1:16" ht="80.099999999999994" customHeight="1">
      <c r="A7" s="85" t="s">
        <v>1142</v>
      </c>
      <c r="B7" s="82" t="s">
        <v>282</v>
      </c>
      <c r="C7" s="85" t="s">
        <v>1143</v>
      </c>
      <c r="D7" s="82" t="s">
        <v>1119</v>
      </c>
      <c r="E7" s="82" t="s">
        <v>216</v>
      </c>
      <c r="F7" s="88" t="s">
        <v>680</v>
      </c>
      <c r="G7" s="82" t="s">
        <v>1144</v>
      </c>
      <c r="H7" s="82" t="s">
        <v>1145</v>
      </c>
      <c r="I7" s="82" t="s">
        <v>1146</v>
      </c>
      <c r="J7" s="82" t="s">
        <v>1147</v>
      </c>
      <c r="K7" s="82" t="s">
        <v>1148</v>
      </c>
      <c r="L7" s="82" t="s">
        <v>745</v>
      </c>
      <c r="M7" s="82" t="s">
        <v>1134</v>
      </c>
      <c r="N7" s="82" t="s">
        <v>83</v>
      </c>
      <c r="O7" s="82" t="s">
        <v>795</v>
      </c>
      <c r="P7" s="83">
        <v>46128</v>
      </c>
    </row>
    <row r="8" spans="1:16" ht="80.099999999999994" customHeight="1">
      <c r="A8" s="84" t="s">
        <v>1149</v>
      </c>
      <c r="B8" s="80" t="s">
        <v>494</v>
      </c>
      <c r="C8" s="84" t="s">
        <v>1150</v>
      </c>
      <c r="D8" s="80" t="s">
        <v>1127</v>
      </c>
      <c r="E8" s="80" t="s">
        <v>205</v>
      </c>
      <c r="F8" s="89" t="s">
        <v>680</v>
      </c>
      <c r="G8" s="80" t="s">
        <v>1151</v>
      </c>
      <c r="H8" s="80" t="s">
        <v>1152</v>
      </c>
      <c r="I8" s="80" t="s">
        <v>1153</v>
      </c>
      <c r="J8" s="80" t="s">
        <v>1154</v>
      </c>
      <c r="K8" s="80" t="s">
        <v>1155</v>
      </c>
      <c r="L8" s="80" t="s">
        <v>745</v>
      </c>
      <c r="M8" s="80" t="s">
        <v>1134</v>
      </c>
      <c r="N8" s="80" t="s">
        <v>83</v>
      </c>
      <c r="O8" s="80" t="s">
        <v>795</v>
      </c>
      <c r="P8" s="81">
        <v>46128</v>
      </c>
    </row>
    <row r="9" spans="1:16" ht="80.099999999999994" customHeight="1">
      <c r="A9" s="85" t="s">
        <v>1156</v>
      </c>
      <c r="B9" s="82" t="s">
        <v>251</v>
      </c>
      <c r="C9" s="85" t="s">
        <v>1157</v>
      </c>
      <c r="D9" s="82" t="s">
        <v>1103</v>
      </c>
      <c r="E9" s="82" t="s">
        <v>216</v>
      </c>
      <c r="F9" s="87" t="s">
        <v>85</v>
      </c>
      <c r="G9" s="82" t="s">
        <v>1158</v>
      </c>
      <c r="H9" s="82" t="s">
        <v>1159</v>
      </c>
      <c r="I9" s="82" t="s">
        <v>1160</v>
      </c>
      <c r="J9" s="82" t="s">
        <v>1161</v>
      </c>
      <c r="K9" s="82" t="s">
        <v>1008</v>
      </c>
      <c r="L9" s="82" t="s">
        <v>745</v>
      </c>
      <c r="M9" s="82" t="s">
        <v>1109</v>
      </c>
      <c r="N9" s="82" t="s">
        <v>83</v>
      </c>
      <c r="O9" s="82" t="s">
        <v>795</v>
      </c>
      <c r="P9" s="83">
        <v>46128</v>
      </c>
    </row>
    <row r="10" spans="1:16" ht="80.099999999999994" customHeight="1">
      <c r="A10" s="84" t="s">
        <v>1162</v>
      </c>
      <c r="B10" s="80" t="s">
        <v>179</v>
      </c>
      <c r="C10" s="84" t="s">
        <v>1163</v>
      </c>
      <c r="D10" s="80" t="s">
        <v>1103</v>
      </c>
      <c r="E10" s="80" t="s">
        <v>72</v>
      </c>
      <c r="F10" s="86" t="s">
        <v>85</v>
      </c>
      <c r="G10" s="80" t="s">
        <v>1164</v>
      </c>
      <c r="H10" s="80" t="s">
        <v>1165</v>
      </c>
      <c r="I10" s="80" t="s">
        <v>1166</v>
      </c>
      <c r="J10" s="80" t="s">
        <v>1167</v>
      </c>
      <c r="K10" s="80" t="s">
        <v>1168</v>
      </c>
      <c r="L10" s="80" t="s">
        <v>1040</v>
      </c>
      <c r="M10" s="80" t="s">
        <v>1109</v>
      </c>
      <c r="N10" s="80" t="s">
        <v>83</v>
      </c>
      <c r="O10" s="80" t="s">
        <v>795</v>
      </c>
      <c r="P10" s="81">
        <v>46128</v>
      </c>
    </row>
    <row r="11" spans="1:16" ht="80.099999999999994" customHeight="1">
      <c r="A11" s="85" t="s">
        <v>1169</v>
      </c>
      <c r="B11" s="82" t="s">
        <v>824</v>
      </c>
      <c r="C11" s="85" t="s">
        <v>1170</v>
      </c>
      <c r="D11" s="82" t="s">
        <v>1171</v>
      </c>
      <c r="E11" s="82" t="s">
        <v>648</v>
      </c>
      <c r="F11" s="88" t="s">
        <v>680</v>
      </c>
      <c r="G11" s="82" t="s">
        <v>1172</v>
      </c>
      <c r="H11" s="82" t="s">
        <v>1173</v>
      </c>
      <c r="I11" s="82" t="s">
        <v>1174</v>
      </c>
      <c r="J11" s="82" t="s">
        <v>1175</v>
      </c>
      <c r="K11" s="82" t="s">
        <v>1176</v>
      </c>
      <c r="L11" s="82" t="s">
        <v>1032</v>
      </c>
      <c r="M11" s="82" t="s">
        <v>1134</v>
      </c>
      <c r="N11" s="82" t="s">
        <v>83</v>
      </c>
      <c r="O11" s="82" t="s">
        <v>795</v>
      </c>
      <c r="P11" s="83">
        <v>46128</v>
      </c>
    </row>
  </sheetData>
  <autoFilter ref="A1:P11" xr:uid="{F243FE04-7EA1-453A-BAFE-A9985E5B499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A1:Z200"/>
  <sheetViews>
    <sheetView tabSelected="1" workbookViewId="0">
      <pane ySplit="1" topLeftCell="A15" activePane="bottomLeft" state="frozen"/>
      <selection pane="bottomLeft"/>
    </sheetView>
  </sheetViews>
  <sheetFormatPr defaultRowHeight="14.25"/>
  <cols>
    <col min="1" max="1" width="22" customWidth="1"/>
    <col min="2" max="2" width="16" customWidth="1"/>
    <col min="3" max="3" width="10" customWidth="1"/>
    <col min="4" max="4" width="24" customWidth="1"/>
    <col min="5" max="5" width="14" customWidth="1"/>
    <col min="6" max="6" width="10" customWidth="1"/>
    <col min="7" max="7" width="14" customWidth="1"/>
    <col min="8" max="9" width="28" customWidth="1"/>
  </cols>
  <sheetData>
    <row r="1" spans="1:26" ht="27.95" customHeight="1">
      <c r="A1" s="2" t="s">
        <v>650</v>
      </c>
      <c r="B1" s="2" t="s">
        <v>651</v>
      </c>
      <c r="C1" s="2" t="s">
        <v>652</v>
      </c>
      <c r="D1" s="2" t="s">
        <v>653</v>
      </c>
      <c r="E1" s="2" t="s">
        <v>654</v>
      </c>
      <c r="F1" s="2" t="s">
        <v>655</v>
      </c>
      <c r="G1" s="2" t="s">
        <v>656</v>
      </c>
      <c r="H1" s="2" t="s">
        <v>657</v>
      </c>
      <c r="I1" s="2" t="s">
        <v>658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1" customFormat="1" ht="26.1" customHeight="1">
      <c r="A2" s="51" t="s">
        <v>73</v>
      </c>
      <c r="B2" s="51" t="s">
        <v>659</v>
      </c>
      <c r="C2" s="51" t="s">
        <v>83</v>
      </c>
      <c r="D2" s="51" t="s">
        <v>660</v>
      </c>
      <c r="E2" s="51" t="s">
        <v>80</v>
      </c>
      <c r="F2" s="51" t="s">
        <v>661</v>
      </c>
      <c r="G2" s="51" t="s">
        <v>81</v>
      </c>
      <c r="H2" s="51" t="s">
        <v>90</v>
      </c>
      <c r="I2" s="51" t="s">
        <v>662</v>
      </c>
    </row>
    <row r="3" spans="1:26" s="51" customFormat="1" ht="26.1" customHeight="1">
      <c r="A3" s="51" t="s">
        <v>113</v>
      </c>
      <c r="B3" s="51" t="s">
        <v>663</v>
      </c>
      <c r="C3" s="51" t="s">
        <v>83</v>
      </c>
      <c r="D3" s="51" t="s">
        <v>664</v>
      </c>
      <c r="E3" s="51" t="s">
        <v>116</v>
      </c>
      <c r="F3" s="51" t="s">
        <v>665</v>
      </c>
      <c r="G3" s="51" t="s">
        <v>81</v>
      </c>
      <c r="H3" s="51" t="s">
        <v>119</v>
      </c>
      <c r="I3" s="51" t="s">
        <v>666</v>
      </c>
    </row>
    <row r="4" spans="1:26" s="51" customFormat="1" ht="26.1" customHeight="1">
      <c r="A4" s="51" t="s">
        <v>139</v>
      </c>
      <c r="B4" s="51" t="s">
        <v>667</v>
      </c>
      <c r="C4" s="51" t="s">
        <v>83</v>
      </c>
      <c r="D4" s="51" t="s">
        <v>668</v>
      </c>
      <c r="E4" s="51" t="s">
        <v>116</v>
      </c>
      <c r="F4" s="51" t="s">
        <v>661</v>
      </c>
      <c r="G4" s="51" t="s">
        <v>81</v>
      </c>
      <c r="H4" s="51" t="s">
        <v>142</v>
      </c>
      <c r="I4" s="51" t="s">
        <v>669</v>
      </c>
    </row>
    <row r="5" spans="1:26" s="51" customFormat="1" ht="26.1" customHeight="1">
      <c r="A5" s="51" t="s">
        <v>160</v>
      </c>
      <c r="B5" s="51" t="s">
        <v>667</v>
      </c>
      <c r="C5" s="51" t="s">
        <v>83</v>
      </c>
      <c r="D5" s="51" t="s">
        <v>670</v>
      </c>
      <c r="E5" s="51" t="s">
        <v>116</v>
      </c>
      <c r="F5" s="51" t="s">
        <v>661</v>
      </c>
      <c r="G5" s="51" t="s">
        <v>81</v>
      </c>
      <c r="H5" s="51" t="s">
        <v>164</v>
      </c>
      <c r="I5" s="51" t="s">
        <v>671</v>
      </c>
    </row>
    <row r="6" spans="1:26" s="51" customFormat="1" ht="26.1" customHeight="1">
      <c r="A6" s="51" t="s">
        <v>182</v>
      </c>
      <c r="B6" s="51" t="s">
        <v>672</v>
      </c>
      <c r="C6" s="51" t="s">
        <v>83</v>
      </c>
      <c r="D6" s="51" t="s">
        <v>673</v>
      </c>
      <c r="E6" s="51" t="s">
        <v>80</v>
      </c>
      <c r="F6" s="51" t="s">
        <v>229</v>
      </c>
      <c r="G6" s="51" t="s">
        <v>81</v>
      </c>
      <c r="H6" s="51" t="s">
        <v>185</v>
      </c>
      <c r="I6" s="51" t="s">
        <v>674</v>
      </c>
    </row>
    <row r="7" spans="1:26" s="51" customFormat="1" ht="26.1" customHeight="1">
      <c r="A7" s="51" t="s">
        <v>254</v>
      </c>
      <c r="B7" s="51" t="s">
        <v>667</v>
      </c>
      <c r="C7" s="51" t="s">
        <v>83</v>
      </c>
      <c r="D7" s="51" t="s">
        <v>675</v>
      </c>
      <c r="E7" s="51" t="s">
        <v>116</v>
      </c>
      <c r="F7" s="51" t="s">
        <v>661</v>
      </c>
      <c r="G7" s="51" t="s">
        <v>81</v>
      </c>
      <c r="H7" s="51" t="s">
        <v>255</v>
      </c>
      <c r="I7" s="51" t="s">
        <v>676</v>
      </c>
    </row>
    <row r="8" spans="1:26" s="51" customFormat="1" ht="26.1" customHeight="1">
      <c r="A8" s="51" t="s">
        <v>217</v>
      </c>
      <c r="B8" s="51" t="s">
        <v>659</v>
      </c>
      <c r="C8" s="51" t="s">
        <v>82</v>
      </c>
      <c r="D8" s="51" t="s">
        <v>677</v>
      </c>
      <c r="E8" s="51" t="s">
        <v>80</v>
      </c>
      <c r="F8" s="51" t="s">
        <v>661</v>
      </c>
      <c r="G8" s="51" t="s">
        <v>81</v>
      </c>
      <c r="H8" s="51" t="s">
        <v>219</v>
      </c>
      <c r="I8" s="51" t="s">
        <v>678</v>
      </c>
    </row>
    <row r="9" spans="1:26" s="51" customFormat="1" ht="26.1" customHeight="1">
      <c r="A9" s="51" t="s">
        <v>206</v>
      </c>
      <c r="B9" s="51" t="s">
        <v>659</v>
      </c>
      <c r="C9" s="51" t="s">
        <v>83</v>
      </c>
      <c r="D9" s="51" t="s">
        <v>677</v>
      </c>
      <c r="E9" s="51" t="s">
        <v>80</v>
      </c>
      <c r="F9" s="51" t="s">
        <v>661</v>
      </c>
      <c r="G9" s="51" t="s">
        <v>81</v>
      </c>
      <c r="H9" s="51" t="s">
        <v>207</v>
      </c>
      <c r="I9" s="51" t="s">
        <v>679</v>
      </c>
    </row>
    <row r="10" spans="1:26" s="51" customFormat="1" ht="26.1" customHeight="1">
      <c r="A10" s="51" t="s">
        <v>194</v>
      </c>
      <c r="B10" s="51" t="s">
        <v>680</v>
      </c>
      <c r="C10" s="51" t="s">
        <v>83</v>
      </c>
      <c r="D10" s="51" t="s">
        <v>681</v>
      </c>
      <c r="E10" s="51" t="s">
        <v>80</v>
      </c>
      <c r="F10" s="51" t="s">
        <v>229</v>
      </c>
      <c r="G10" s="51" t="s">
        <v>81</v>
      </c>
      <c r="H10" s="51" t="s">
        <v>196</v>
      </c>
      <c r="I10" s="51" t="s">
        <v>682</v>
      </c>
    </row>
    <row r="11" spans="1:26" s="51" customFormat="1" ht="26.1" customHeight="1">
      <c r="A11" s="51" t="s">
        <v>435</v>
      </c>
      <c r="B11" s="51" t="s">
        <v>683</v>
      </c>
      <c r="C11" s="51" t="s">
        <v>83</v>
      </c>
      <c r="D11" s="51" t="s">
        <v>684</v>
      </c>
      <c r="E11" s="51" t="s">
        <v>80</v>
      </c>
      <c r="F11" s="51" t="s">
        <v>229</v>
      </c>
      <c r="G11" s="51" t="s">
        <v>81</v>
      </c>
      <c r="H11" s="51" t="s">
        <v>438</v>
      </c>
      <c r="I11" s="51" t="s">
        <v>685</v>
      </c>
    </row>
    <row r="12" spans="1:26" s="51" customFormat="1" ht="26.1" customHeight="1">
      <c r="A12" s="51" t="s">
        <v>409</v>
      </c>
      <c r="B12" s="51" t="s">
        <v>667</v>
      </c>
      <c r="C12" s="51" t="s">
        <v>82</v>
      </c>
      <c r="D12" s="51" t="s">
        <v>686</v>
      </c>
      <c r="E12" s="51" t="s">
        <v>80</v>
      </c>
      <c r="F12" s="51" t="s">
        <v>661</v>
      </c>
      <c r="G12" s="51" t="s">
        <v>81</v>
      </c>
      <c r="H12" s="51" t="s">
        <v>413</v>
      </c>
      <c r="I12" s="51" t="s">
        <v>687</v>
      </c>
    </row>
    <row r="13" spans="1:26" s="51" customFormat="1" ht="26.1" customHeight="1">
      <c r="A13" s="51" t="s">
        <v>422</v>
      </c>
      <c r="B13" s="51" t="s">
        <v>667</v>
      </c>
      <c r="C13" s="51" t="s">
        <v>82</v>
      </c>
      <c r="D13" s="51" t="s">
        <v>688</v>
      </c>
      <c r="E13" s="51" t="s">
        <v>80</v>
      </c>
      <c r="F13" s="51" t="s">
        <v>661</v>
      </c>
      <c r="G13" s="51" t="s">
        <v>81</v>
      </c>
      <c r="H13" s="51" t="s">
        <v>426</v>
      </c>
      <c r="I13" s="51" t="s">
        <v>689</v>
      </c>
    </row>
    <row r="14" spans="1:26" s="51" customFormat="1" ht="26.1" customHeight="1">
      <c r="A14" s="51" t="s">
        <v>332</v>
      </c>
      <c r="B14" s="51" t="s">
        <v>672</v>
      </c>
      <c r="C14" s="51" t="s">
        <v>83</v>
      </c>
      <c r="D14" s="51" t="s">
        <v>690</v>
      </c>
      <c r="E14" s="51" t="s">
        <v>80</v>
      </c>
      <c r="F14" s="51" t="s">
        <v>229</v>
      </c>
      <c r="G14" s="51" t="s">
        <v>101</v>
      </c>
      <c r="H14" s="51" t="s">
        <v>335</v>
      </c>
      <c r="I14" s="51" t="s">
        <v>691</v>
      </c>
    </row>
    <row r="15" spans="1:26" s="51" customFormat="1" ht="26.1" customHeight="1">
      <c r="A15" s="51" t="s">
        <v>344</v>
      </c>
      <c r="B15" s="51" t="s">
        <v>672</v>
      </c>
      <c r="C15" s="51" t="s">
        <v>83</v>
      </c>
      <c r="D15" s="51" t="s">
        <v>690</v>
      </c>
      <c r="E15" s="51" t="s">
        <v>80</v>
      </c>
      <c r="F15" s="51" t="s">
        <v>229</v>
      </c>
      <c r="G15" s="51" t="s">
        <v>101</v>
      </c>
      <c r="H15" s="51" t="s">
        <v>346</v>
      </c>
      <c r="I15" s="51" t="s">
        <v>692</v>
      </c>
    </row>
    <row r="16" spans="1:26" s="51" customFormat="1" ht="26.1" customHeight="1">
      <c r="A16" s="51" t="s">
        <v>355</v>
      </c>
      <c r="B16" s="51" t="s">
        <v>693</v>
      </c>
      <c r="C16" s="51" t="s">
        <v>82</v>
      </c>
      <c r="D16" s="51" t="s">
        <v>694</v>
      </c>
      <c r="E16" s="51" t="s">
        <v>80</v>
      </c>
      <c r="F16" s="51" t="s">
        <v>229</v>
      </c>
      <c r="G16" s="51" t="s">
        <v>81</v>
      </c>
      <c r="H16" s="51" t="s">
        <v>358</v>
      </c>
      <c r="I16" s="51" t="s">
        <v>695</v>
      </c>
    </row>
    <row r="17" spans="1:26" s="51" customFormat="1" ht="26.1" customHeight="1">
      <c r="A17" s="51" t="s">
        <v>528</v>
      </c>
      <c r="B17" s="51" t="s">
        <v>696</v>
      </c>
      <c r="C17" s="51" t="s">
        <v>83</v>
      </c>
      <c r="D17" s="51" t="s">
        <v>697</v>
      </c>
      <c r="E17" s="51" t="s">
        <v>80</v>
      </c>
      <c r="F17" s="51" t="s">
        <v>661</v>
      </c>
      <c r="G17" s="51" t="s">
        <v>81</v>
      </c>
      <c r="H17" s="51" t="s">
        <v>531</v>
      </c>
      <c r="I17" s="51" t="s">
        <v>698</v>
      </c>
    </row>
    <row r="18" spans="1:26" s="51" customFormat="1" ht="26.1" customHeight="1">
      <c r="A18" s="51" t="s">
        <v>540</v>
      </c>
      <c r="B18" s="51" t="s">
        <v>696</v>
      </c>
      <c r="C18" s="51" t="s">
        <v>83</v>
      </c>
      <c r="D18" s="51" t="s">
        <v>699</v>
      </c>
      <c r="E18" s="51" t="s">
        <v>80</v>
      </c>
      <c r="F18" s="51" t="s">
        <v>661</v>
      </c>
      <c r="G18" s="51" t="s">
        <v>81</v>
      </c>
      <c r="H18" s="51" t="s">
        <v>541</v>
      </c>
      <c r="I18" s="51" t="s">
        <v>700</v>
      </c>
    </row>
    <row r="19" spans="1:26" s="51" customFormat="1" ht="26.1" customHeight="1">
      <c r="A19" s="51" t="s">
        <v>550</v>
      </c>
      <c r="B19" s="51" t="s">
        <v>659</v>
      </c>
      <c r="C19" s="51" t="s">
        <v>82</v>
      </c>
      <c r="D19" s="51" t="s">
        <v>701</v>
      </c>
      <c r="E19" s="51" t="s">
        <v>80</v>
      </c>
      <c r="F19" s="51" t="s">
        <v>661</v>
      </c>
      <c r="G19" s="51" t="s">
        <v>81</v>
      </c>
      <c r="H19" s="51" t="s">
        <v>553</v>
      </c>
      <c r="I19" s="51" t="s">
        <v>702</v>
      </c>
    </row>
    <row r="20" spans="1:26" s="51" customFormat="1" ht="26.1" customHeight="1">
      <c r="A20" s="51" t="s">
        <v>562</v>
      </c>
      <c r="B20" s="51" t="s">
        <v>659</v>
      </c>
      <c r="C20" s="51" t="s">
        <v>82</v>
      </c>
      <c r="D20" s="51" t="s">
        <v>703</v>
      </c>
      <c r="E20" s="51" t="s">
        <v>80</v>
      </c>
      <c r="F20" s="51" t="s">
        <v>661</v>
      </c>
      <c r="G20" s="51" t="s">
        <v>81</v>
      </c>
      <c r="H20" s="51" t="s">
        <v>564</v>
      </c>
      <c r="I20" s="51" t="s">
        <v>704</v>
      </c>
    </row>
    <row r="21" spans="1:26" s="51" customFormat="1" ht="26.1" customHeight="1">
      <c r="A21" s="51" t="s">
        <v>272</v>
      </c>
      <c r="B21" s="51" t="s">
        <v>696</v>
      </c>
      <c r="C21" s="51" t="s">
        <v>83</v>
      </c>
      <c r="D21" s="51" t="s">
        <v>705</v>
      </c>
      <c r="E21" s="51" t="s">
        <v>274</v>
      </c>
      <c r="F21" s="51" t="s">
        <v>661</v>
      </c>
      <c r="G21" s="51" t="s">
        <v>81</v>
      </c>
      <c r="H21" s="51" t="s">
        <v>276</v>
      </c>
      <c r="I21" s="51" t="s">
        <v>706</v>
      </c>
    </row>
    <row r="22" spans="1:26" s="51" customFormat="1" ht="26.1" customHeight="1">
      <c r="A22" s="51" t="s">
        <v>584</v>
      </c>
      <c r="B22" s="51" t="s">
        <v>707</v>
      </c>
      <c r="C22" s="51" t="s">
        <v>82</v>
      </c>
      <c r="D22" s="51" t="s">
        <v>708</v>
      </c>
      <c r="E22" s="51" t="s">
        <v>600</v>
      </c>
      <c r="F22" s="51" t="s">
        <v>235</v>
      </c>
      <c r="G22" s="51" t="s">
        <v>288</v>
      </c>
      <c r="H22" s="51" t="s">
        <v>588</v>
      </c>
      <c r="I22" s="51" t="s">
        <v>709</v>
      </c>
    </row>
    <row r="23" spans="1:26" s="51" customFormat="1" ht="26.1" customHeight="1">
      <c r="A23" s="51" t="s">
        <v>228</v>
      </c>
      <c r="B23" s="51" t="s">
        <v>235</v>
      </c>
      <c r="C23" s="51" t="s">
        <v>83</v>
      </c>
      <c r="D23" s="51" t="s">
        <v>710</v>
      </c>
      <c r="E23" s="51" t="s">
        <v>711</v>
      </c>
      <c r="F23" s="51" t="s">
        <v>235</v>
      </c>
      <c r="G23" s="51" t="s">
        <v>288</v>
      </c>
      <c r="I23" s="51" t="s">
        <v>712</v>
      </c>
    </row>
    <row r="24" spans="1:26" s="51" customFormat="1" ht="26.1" customHeight="1">
      <c r="A24" s="51" t="s">
        <v>598</v>
      </c>
      <c r="B24" s="51" t="s">
        <v>713</v>
      </c>
      <c r="C24" s="51" t="s">
        <v>82</v>
      </c>
      <c r="D24" s="51" t="s">
        <v>710</v>
      </c>
      <c r="E24" s="51" t="s">
        <v>711</v>
      </c>
      <c r="F24" s="51" t="s">
        <v>235</v>
      </c>
      <c r="G24" s="51" t="s">
        <v>288</v>
      </c>
      <c r="I24" s="51" t="s">
        <v>714</v>
      </c>
    </row>
    <row r="25" spans="1:26" s="51" customFormat="1" ht="26.1" customHeight="1">
      <c r="A25" s="77" t="s">
        <v>922</v>
      </c>
      <c r="B25" s="77" t="s">
        <v>672</v>
      </c>
      <c r="C25" s="77" t="s">
        <v>83</v>
      </c>
      <c r="D25" s="77" t="s">
        <v>985</v>
      </c>
      <c r="E25" s="77" t="s">
        <v>101</v>
      </c>
      <c r="F25" s="77" t="s">
        <v>661</v>
      </c>
      <c r="G25" s="77" t="s">
        <v>101</v>
      </c>
      <c r="H25" s="77"/>
      <c r="I25" s="77" t="s">
        <v>986</v>
      </c>
    </row>
    <row r="26" spans="1:26" s="51" customFormat="1" ht="26.1" customHeight="1">
      <c r="A26" s="77" t="s">
        <v>987</v>
      </c>
      <c r="B26" s="77" t="s">
        <v>235</v>
      </c>
      <c r="C26" s="77" t="s">
        <v>83</v>
      </c>
      <c r="D26" s="77" t="s">
        <v>988</v>
      </c>
      <c r="E26" s="77" t="s">
        <v>711</v>
      </c>
      <c r="F26" s="77" t="s">
        <v>235</v>
      </c>
      <c r="G26" s="77" t="s">
        <v>288</v>
      </c>
      <c r="H26" s="77"/>
      <c r="I26" s="77" t="s">
        <v>989</v>
      </c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autoFilter ref="A1:I26" xr:uid="{00000000-0001-0000-0200-000000000000}"/>
  <dataValidations count="5">
    <dataValidation type="list" sqref="B2:B200" xr:uid="{00000000-0002-0000-0200-000000000000}">
      <formula1>"advisory_firm,academic,bank,internal,media,newsletter,data_provider,regulator,consulting,partner_input,proprietary"</formula1>
    </dataValidation>
    <dataValidation type="list" sqref="C2:C200" xr:uid="{00000000-0002-0000-0200-000001000000}">
      <formula1>"high,medium,low"</formula1>
    </dataValidation>
    <dataValidation type="list" sqref="E2:E200" xr:uid="{00000000-0002-0000-0200-000002000000}">
      <formula1>"daily,weekly,monthly,quarterly,annual,ad_hoc"</formula1>
    </dataValidation>
    <dataValidation type="list" sqref="F2:F200" xr:uid="{00000000-0002-0000-0200-000003000000}">
      <formula1>"paid,free,internal,mixed"</formula1>
    </dataValidation>
    <dataValidation type="list" sqref="G2:G200" xr:uid="{00000000-0002-0000-0200-000004000000}">
      <formula1>"live,recent,reference,archive"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Z200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6" customWidth="1"/>
    <col min="2" max="2" width="14" customWidth="1"/>
    <col min="3" max="3" width="12" customWidth="1"/>
    <col min="4" max="4" width="10" customWidth="1"/>
    <col min="5" max="6" width="16" customWidth="1"/>
    <col min="7" max="9" width="12" customWidth="1"/>
    <col min="10" max="11" width="10" customWidth="1"/>
    <col min="12" max="12" width="30" customWidth="1"/>
    <col min="13" max="13" width="28" customWidth="1"/>
    <col min="14" max="14" width="26" customWidth="1"/>
    <col min="15" max="15" width="24" customWidth="1"/>
    <col min="16" max="16" width="18" customWidth="1"/>
    <col min="17" max="17" width="14" customWidth="1"/>
    <col min="18" max="20" width="12" customWidth="1"/>
  </cols>
  <sheetData>
    <row r="1" spans="1:26" ht="27.95" customHeight="1">
      <c r="A1" s="2" t="s">
        <v>715</v>
      </c>
      <c r="B1" s="2" t="s">
        <v>716</v>
      </c>
      <c r="C1" s="2" t="s">
        <v>717</v>
      </c>
      <c r="D1" s="2" t="s">
        <v>39</v>
      </c>
      <c r="E1" s="2" t="s">
        <v>28</v>
      </c>
      <c r="F1" s="2" t="s">
        <v>29</v>
      </c>
      <c r="G1" s="2" t="s">
        <v>718</v>
      </c>
      <c r="H1" s="2" t="s">
        <v>719</v>
      </c>
      <c r="I1" s="2" t="s">
        <v>720</v>
      </c>
      <c r="J1" s="2" t="s">
        <v>721</v>
      </c>
      <c r="K1" s="2" t="s">
        <v>722</v>
      </c>
      <c r="L1" s="2" t="s">
        <v>723</v>
      </c>
      <c r="M1" s="2" t="s">
        <v>724</v>
      </c>
      <c r="N1" s="2" t="s">
        <v>725</v>
      </c>
      <c r="O1" s="2" t="s">
        <v>726</v>
      </c>
      <c r="P1" s="2" t="s">
        <v>727</v>
      </c>
      <c r="Q1" s="2" t="s">
        <v>728</v>
      </c>
      <c r="R1" s="2" t="s">
        <v>729</v>
      </c>
      <c r="S1" s="2" t="s">
        <v>36</v>
      </c>
      <c r="T1" s="2" t="s">
        <v>730</v>
      </c>
      <c r="U1" s="1"/>
      <c r="V1" s="1"/>
      <c r="W1" s="1"/>
      <c r="X1" s="1"/>
      <c r="Y1" s="1"/>
      <c r="Z1" s="1"/>
    </row>
    <row r="2" spans="1:26" s="51" customFormat="1" ht="30" customHeight="1">
      <c r="A2" s="51" t="s">
        <v>731</v>
      </c>
      <c r="B2" s="51" t="s">
        <v>732</v>
      </c>
      <c r="C2" s="51" t="s">
        <v>733</v>
      </c>
      <c r="D2" s="51" t="s">
        <v>82</v>
      </c>
      <c r="E2" s="51" t="s">
        <v>76</v>
      </c>
      <c r="F2" s="51" t="s">
        <v>183</v>
      </c>
      <c r="G2" s="52">
        <v>46128</v>
      </c>
      <c r="H2" s="52">
        <v>46128</v>
      </c>
      <c r="I2" s="51">
        <v>1</v>
      </c>
      <c r="J2" s="51">
        <v>5</v>
      </c>
      <c r="K2" s="51">
        <v>5</v>
      </c>
      <c r="L2" s="51" t="s">
        <v>734</v>
      </c>
      <c r="M2" s="51" t="s">
        <v>735</v>
      </c>
      <c r="N2" s="51" t="s">
        <v>736</v>
      </c>
      <c r="O2" s="51" t="s">
        <v>737</v>
      </c>
      <c r="P2" s="51" t="s">
        <v>1062</v>
      </c>
      <c r="Q2" s="51" t="s">
        <v>89</v>
      </c>
      <c r="R2" s="51" t="s">
        <v>274</v>
      </c>
      <c r="S2" s="52">
        <v>46158</v>
      </c>
      <c r="T2" s="54" t="b">
        <v>0</v>
      </c>
    </row>
    <row r="3" spans="1:26" s="51" customFormat="1" ht="30" customHeight="1">
      <c r="A3" s="77" t="s">
        <v>990</v>
      </c>
      <c r="B3" s="77" t="s">
        <v>812</v>
      </c>
      <c r="C3" s="77" t="s">
        <v>733</v>
      </c>
      <c r="D3" s="77" t="s">
        <v>82</v>
      </c>
      <c r="E3" s="77" t="s">
        <v>76</v>
      </c>
      <c r="F3" s="77" t="s">
        <v>183</v>
      </c>
      <c r="G3" s="78">
        <v>46128</v>
      </c>
      <c r="H3" s="78">
        <v>46128</v>
      </c>
      <c r="I3" s="77">
        <v>1</v>
      </c>
      <c r="J3" s="77">
        <v>5</v>
      </c>
      <c r="K3" s="77">
        <v>5</v>
      </c>
      <c r="L3" s="77" t="s">
        <v>991</v>
      </c>
      <c r="M3" s="77" t="s">
        <v>992</v>
      </c>
      <c r="N3" s="77" t="s">
        <v>993</v>
      </c>
      <c r="O3" s="77" t="s">
        <v>994</v>
      </c>
      <c r="P3" s="77" t="s">
        <v>995</v>
      </c>
      <c r="Q3" s="77" t="s">
        <v>89</v>
      </c>
      <c r="R3" s="77" t="s">
        <v>274</v>
      </c>
      <c r="S3" s="78">
        <v>46158</v>
      </c>
      <c r="T3" s="77" t="b">
        <v>0</v>
      </c>
    </row>
    <row r="4" spans="1:26" s="51" customFormat="1" ht="30" customHeight="1">
      <c r="A4" s="77" t="s">
        <v>996</v>
      </c>
      <c r="B4" s="77" t="s">
        <v>812</v>
      </c>
      <c r="C4" s="77" t="s">
        <v>733</v>
      </c>
      <c r="D4" s="77" t="s">
        <v>97</v>
      </c>
      <c r="E4" s="77" t="s">
        <v>76</v>
      </c>
      <c r="F4" s="77" t="s">
        <v>183</v>
      </c>
      <c r="G4" s="78">
        <v>46128</v>
      </c>
      <c r="H4" s="78">
        <v>46128</v>
      </c>
      <c r="I4" s="77">
        <v>1</v>
      </c>
      <c r="J4" s="77">
        <v>5</v>
      </c>
      <c r="K4" s="77">
        <v>5</v>
      </c>
      <c r="L4" s="77" t="s">
        <v>997</v>
      </c>
      <c r="M4" s="77" t="s">
        <v>998</v>
      </c>
      <c r="N4" s="77" t="s">
        <v>999</v>
      </c>
      <c r="O4" s="77" t="s">
        <v>1000</v>
      </c>
      <c r="P4" s="77" t="s">
        <v>1001</v>
      </c>
      <c r="Q4" s="77" t="s">
        <v>289</v>
      </c>
      <c r="R4" s="77" t="s">
        <v>274</v>
      </c>
      <c r="S4" s="78">
        <v>46158</v>
      </c>
      <c r="T4" s="77" t="b">
        <v>0</v>
      </c>
    </row>
    <row r="5" spans="1:26" s="51" customFormat="1" ht="30" customHeight="1">
      <c r="A5" s="77" t="s">
        <v>1002</v>
      </c>
      <c r="B5" s="77" t="s">
        <v>806</v>
      </c>
      <c r="C5" s="77" t="s">
        <v>733</v>
      </c>
      <c r="D5" s="77" t="s">
        <v>82</v>
      </c>
      <c r="E5" s="77" t="s">
        <v>76</v>
      </c>
      <c r="F5" s="77" t="s">
        <v>183</v>
      </c>
      <c r="G5" s="78">
        <v>46128</v>
      </c>
      <c r="H5" s="78">
        <v>46128</v>
      </c>
      <c r="I5" s="77">
        <v>1</v>
      </c>
      <c r="J5" s="77">
        <v>4</v>
      </c>
      <c r="K5" s="77">
        <v>5</v>
      </c>
      <c r="L5" s="77" t="s">
        <v>1003</v>
      </c>
      <c r="M5" s="77" t="s">
        <v>1004</v>
      </c>
      <c r="N5" s="77" t="s">
        <v>1005</v>
      </c>
      <c r="O5" s="77" t="s">
        <v>1006</v>
      </c>
      <c r="P5" s="77" t="s">
        <v>1007</v>
      </c>
      <c r="Q5" s="77" t="s">
        <v>289</v>
      </c>
      <c r="R5" s="77" t="s">
        <v>274</v>
      </c>
      <c r="S5" s="78">
        <v>46158</v>
      </c>
      <c r="T5" s="77" t="b">
        <v>0</v>
      </c>
    </row>
    <row r="6" spans="1:26" s="51" customFormat="1" ht="30" customHeight="1">
      <c r="A6" s="77" t="s">
        <v>1008</v>
      </c>
      <c r="B6" s="77" t="s">
        <v>732</v>
      </c>
      <c r="C6" s="77" t="s">
        <v>733</v>
      </c>
      <c r="D6" s="77" t="s">
        <v>82</v>
      </c>
      <c r="E6" s="77" t="s">
        <v>76</v>
      </c>
      <c r="F6" s="77" t="s">
        <v>128</v>
      </c>
      <c r="G6" s="78">
        <v>46128</v>
      </c>
      <c r="H6" s="78">
        <v>46128</v>
      </c>
      <c r="I6" s="77">
        <v>1</v>
      </c>
      <c r="J6" s="77">
        <v>5</v>
      </c>
      <c r="K6" s="77">
        <v>5</v>
      </c>
      <c r="L6" s="77" t="s">
        <v>1009</v>
      </c>
      <c r="M6" s="77" t="s">
        <v>1010</v>
      </c>
      <c r="N6" s="77" t="s">
        <v>1011</v>
      </c>
      <c r="O6" s="77" t="s">
        <v>1012</v>
      </c>
      <c r="P6" s="77" t="s">
        <v>1013</v>
      </c>
      <c r="Q6" s="77" t="s">
        <v>89</v>
      </c>
      <c r="R6" s="77" t="s">
        <v>116</v>
      </c>
      <c r="S6" s="78">
        <v>46219</v>
      </c>
      <c r="T6" s="77" t="b">
        <v>0</v>
      </c>
    </row>
    <row r="7" spans="1:26" s="51" customFormat="1" ht="30" customHeight="1">
      <c r="A7" s="77" t="s">
        <v>1014</v>
      </c>
      <c r="B7" s="77" t="s">
        <v>792</v>
      </c>
      <c r="C7" s="77" t="s">
        <v>733</v>
      </c>
      <c r="D7" s="77" t="s">
        <v>97</v>
      </c>
      <c r="E7" s="77" t="s">
        <v>76</v>
      </c>
      <c r="F7" s="77" t="s">
        <v>183</v>
      </c>
      <c r="G7" s="78">
        <v>46128</v>
      </c>
      <c r="H7" s="78">
        <v>46128</v>
      </c>
      <c r="I7" s="77">
        <v>0</v>
      </c>
      <c r="J7" s="77">
        <v>4</v>
      </c>
      <c r="K7" s="77">
        <v>5</v>
      </c>
      <c r="L7" s="77" t="s">
        <v>1015</v>
      </c>
      <c r="M7" s="77" t="s">
        <v>1016</v>
      </c>
      <c r="N7" s="77" t="s">
        <v>1017</v>
      </c>
      <c r="O7" s="77" t="s">
        <v>1018</v>
      </c>
      <c r="P7" s="77" t="s">
        <v>1019</v>
      </c>
      <c r="Q7" s="77" t="s">
        <v>118</v>
      </c>
      <c r="R7" s="77" t="s">
        <v>600</v>
      </c>
      <c r="S7" s="78">
        <v>46135</v>
      </c>
      <c r="T7" s="77" t="b">
        <v>0</v>
      </c>
    </row>
    <row r="8" spans="1:26" s="51" customFormat="1" ht="30" customHeight="1">
      <c r="A8" s="77" t="s">
        <v>1020</v>
      </c>
      <c r="B8" s="77" t="s">
        <v>792</v>
      </c>
      <c r="C8" s="77" t="s">
        <v>733</v>
      </c>
      <c r="D8" s="77" t="s">
        <v>97</v>
      </c>
      <c r="E8" s="77" t="s">
        <v>76</v>
      </c>
      <c r="F8" s="77" t="s">
        <v>183</v>
      </c>
      <c r="G8" s="78">
        <v>46128</v>
      </c>
      <c r="H8" s="78">
        <v>46128</v>
      </c>
      <c r="I8" s="77">
        <v>0</v>
      </c>
      <c r="J8" s="77">
        <v>5</v>
      </c>
      <c r="K8" s="77">
        <v>5</v>
      </c>
      <c r="L8" s="77" t="s">
        <v>1021</v>
      </c>
      <c r="M8" s="77" t="s">
        <v>1022</v>
      </c>
      <c r="N8" s="77" t="s">
        <v>1023</v>
      </c>
      <c r="O8" s="77" t="s">
        <v>1024</v>
      </c>
      <c r="P8" s="77" t="s">
        <v>1025</v>
      </c>
      <c r="Q8" s="77" t="s">
        <v>118</v>
      </c>
      <c r="R8" s="77" t="s">
        <v>600</v>
      </c>
      <c r="S8" s="78">
        <v>46135</v>
      </c>
      <c r="T8" s="77" t="b">
        <v>0</v>
      </c>
    </row>
    <row r="9" spans="1:26" s="51" customFormat="1" ht="30" customHeight="1">
      <c r="A9" s="77" t="s">
        <v>1026</v>
      </c>
      <c r="B9" s="77" t="s">
        <v>806</v>
      </c>
      <c r="C9" s="77" t="s">
        <v>733</v>
      </c>
      <c r="D9" s="77" t="s">
        <v>82</v>
      </c>
      <c r="E9" s="77" t="s">
        <v>76</v>
      </c>
      <c r="F9" s="77" t="s">
        <v>183</v>
      </c>
      <c r="G9" s="78">
        <v>46128</v>
      </c>
      <c r="H9" s="78">
        <v>46128</v>
      </c>
      <c r="I9" s="77">
        <v>1</v>
      </c>
      <c r="J9" s="77">
        <v>5</v>
      </c>
      <c r="K9" s="77">
        <v>5</v>
      </c>
      <c r="L9" s="77" t="s">
        <v>1027</v>
      </c>
      <c r="M9" s="77" t="s">
        <v>1028</v>
      </c>
      <c r="N9" s="77" t="s">
        <v>1029</v>
      </c>
      <c r="O9" s="77" t="s">
        <v>1030</v>
      </c>
      <c r="P9" s="77" t="s">
        <v>1031</v>
      </c>
      <c r="Q9" s="77" t="s">
        <v>289</v>
      </c>
      <c r="R9" s="77" t="s">
        <v>274</v>
      </c>
      <c r="S9" s="78">
        <v>46158</v>
      </c>
      <c r="T9" s="77" t="b">
        <v>0</v>
      </c>
    </row>
    <row r="10" spans="1:26">
      <c r="A10" s="1"/>
      <c r="B10" s="1"/>
      <c r="C10" s="1"/>
      <c r="D10" s="1"/>
      <c r="E10" s="1"/>
      <c r="F10" s="1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3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3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3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3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3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3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3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3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3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3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3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3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3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3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3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3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3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3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3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3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3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3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3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3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3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3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3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3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3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3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3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3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3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3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3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3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3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3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3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3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dataValidations count="4">
    <dataValidation type="list" sqref="B2:B200" xr:uid="{00000000-0002-0000-0300-000000000000}">
      <formula1>"strategic,behavioral,valuation,execution,failure,sector,investor,succession"</formula1>
    </dataValidation>
    <dataValidation type="list" sqref="C2:C200" xr:uid="{00000000-0002-0000-0300-000001000000}">
      <formula1>"emerging,active,validated,declining,archived"</formula1>
    </dataValidation>
    <dataValidation type="list" sqref="D2:D200" xr:uid="{00000000-0002-0000-0300-000002000000}">
      <formula1>"high,medium,low,unknown"</formula1>
    </dataValidation>
    <dataValidation type="list" sqref="R2:R200" xr:uid="{00000000-0002-0000-0300-000003000000}">
      <formula1>"monthly,quarterly,ad_hoc"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</sheetPr>
  <dimension ref="A1:Z200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2" customWidth="1"/>
    <col min="2" max="2" width="14" customWidth="1"/>
    <col min="3" max="3" width="12" customWidth="1"/>
    <col min="4" max="6" width="28" customWidth="1"/>
    <col min="7" max="8" width="22" customWidth="1"/>
    <col min="9" max="9" width="18" customWidth="1"/>
    <col min="10" max="10" width="12" customWidth="1"/>
    <col min="11" max="11" width="10" customWidth="1"/>
    <col min="12" max="12" width="18" customWidth="1"/>
    <col min="13" max="13" width="16" customWidth="1"/>
    <col min="14" max="14" width="12" customWidth="1"/>
  </cols>
  <sheetData>
    <row r="1" spans="1:26" ht="27.95" customHeight="1">
      <c r="A1" s="2" t="s">
        <v>738</v>
      </c>
      <c r="B1" s="2" t="s">
        <v>739</v>
      </c>
      <c r="C1" s="2" t="s">
        <v>717</v>
      </c>
      <c r="D1" s="2" t="s">
        <v>740</v>
      </c>
      <c r="E1" s="2" t="s">
        <v>59</v>
      </c>
      <c r="F1" s="2" t="s">
        <v>741</v>
      </c>
      <c r="G1" s="2" t="s">
        <v>742</v>
      </c>
      <c r="H1" s="2" t="s">
        <v>54</v>
      </c>
      <c r="I1" s="2" t="s">
        <v>727</v>
      </c>
      <c r="J1" s="2" t="s">
        <v>52</v>
      </c>
      <c r="K1" s="2" t="s">
        <v>39</v>
      </c>
      <c r="L1" s="2" t="s">
        <v>743</v>
      </c>
      <c r="M1" s="2" t="s">
        <v>744</v>
      </c>
      <c r="N1" s="2" t="s">
        <v>36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1" customFormat="1" ht="30" customHeight="1">
      <c r="A2" s="51" t="s">
        <v>745</v>
      </c>
      <c r="B2" s="51" t="s">
        <v>746</v>
      </c>
      <c r="C2" s="51" t="s">
        <v>747</v>
      </c>
      <c r="D2" s="51" t="s">
        <v>748</v>
      </c>
      <c r="E2" s="51" t="s">
        <v>749</v>
      </c>
      <c r="F2" s="51" t="s">
        <v>750</v>
      </c>
      <c r="G2" s="51" t="s">
        <v>751</v>
      </c>
      <c r="H2" s="51" t="s">
        <v>752</v>
      </c>
      <c r="I2" s="51" t="s">
        <v>753</v>
      </c>
      <c r="J2" s="51" t="s">
        <v>89</v>
      </c>
      <c r="K2" s="51" t="s">
        <v>82</v>
      </c>
      <c r="L2" s="51" t="s">
        <v>754</v>
      </c>
      <c r="M2" s="51" t="s">
        <v>83</v>
      </c>
      <c r="N2" s="52">
        <v>46219</v>
      </c>
    </row>
    <row r="3" spans="1:26" s="51" customFormat="1" ht="30" customHeight="1">
      <c r="A3" s="77" t="s">
        <v>1032</v>
      </c>
      <c r="B3" s="77" t="s">
        <v>793</v>
      </c>
      <c r="C3" s="77" t="s">
        <v>747</v>
      </c>
      <c r="D3" s="77" t="s">
        <v>1033</v>
      </c>
      <c r="E3" s="77" t="s">
        <v>1034</v>
      </c>
      <c r="F3" s="77" t="s">
        <v>1035</v>
      </c>
      <c r="G3" s="77" t="s">
        <v>1036</v>
      </c>
      <c r="H3" s="77" t="s">
        <v>1037</v>
      </c>
      <c r="I3" s="77" t="s">
        <v>1038</v>
      </c>
      <c r="J3" s="77" t="s">
        <v>89</v>
      </c>
      <c r="K3" s="77" t="s">
        <v>82</v>
      </c>
      <c r="L3" s="77" t="s">
        <v>1039</v>
      </c>
      <c r="M3" s="77" t="s">
        <v>83</v>
      </c>
      <c r="N3" s="78">
        <v>46219</v>
      </c>
    </row>
    <row r="4" spans="1:26" s="51" customFormat="1" ht="30" customHeight="1">
      <c r="A4" s="77" t="s">
        <v>1040</v>
      </c>
      <c r="B4" s="77" t="s">
        <v>792</v>
      </c>
      <c r="C4" s="77" t="s">
        <v>747</v>
      </c>
      <c r="D4" s="77" t="s">
        <v>1041</v>
      </c>
      <c r="E4" s="77" t="s">
        <v>1042</v>
      </c>
      <c r="F4" s="77" t="s">
        <v>1043</v>
      </c>
      <c r="G4" s="77" t="s">
        <v>1044</v>
      </c>
      <c r="H4" s="77" t="s">
        <v>1045</v>
      </c>
      <c r="I4" s="77" t="s">
        <v>1046</v>
      </c>
      <c r="J4" s="77" t="s">
        <v>89</v>
      </c>
      <c r="K4" s="77" t="s">
        <v>97</v>
      </c>
      <c r="L4" s="77" t="s">
        <v>1047</v>
      </c>
      <c r="M4" s="77" t="s">
        <v>83</v>
      </c>
      <c r="N4" s="78">
        <v>46219</v>
      </c>
    </row>
    <row r="5" spans="1:26" s="51" customFormat="1" ht="30" customHeight="1">
      <c r="A5" s="77" t="s">
        <v>1048</v>
      </c>
      <c r="B5" s="77" t="s">
        <v>793</v>
      </c>
      <c r="C5" s="77" t="s">
        <v>747</v>
      </c>
      <c r="D5" s="77" t="s">
        <v>1049</v>
      </c>
      <c r="E5" s="77" t="s">
        <v>1050</v>
      </c>
      <c r="F5" s="77" t="s">
        <v>1051</v>
      </c>
      <c r="G5" s="77" t="s">
        <v>1052</v>
      </c>
      <c r="H5" s="77" t="s">
        <v>1053</v>
      </c>
      <c r="I5" s="77" t="s">
        <v>1054</v>
      </c>
      <c r="J5" s="77" t="s">
        <v>89</v>
      </c>
      <c r="K5" s="77" t="s">
        <v>82</v>
      </c>
      <c r="L5" s="77" t="s">
        <v>1055</v>
      </c>
      <c r="M5" s="77" t="s">
        <v>83</v>
      </c>
      <c r="N5" s="78">
        <v>46219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autoFilter ref="A1:N5" xr:uid="{00000000-0001-0000-0400-000000000000}"/>
  <dataValidations count="4">
    <dataValidation type="list" sqref="B2:B200" xr:uid="{00000000-0002-0000-0400-000000000000}">
      <formula1>"editorial,sector,macro,valuation,succession,investor,strategic"</formula1>
    </dataValidation>
    <dataValidation type="list" sqref="C2:C200" xr:uid="{00000000-0002-0000-0400-000001000000}">
      <formula1>"idea,building,supported,published,archived"</formula1>
    </dataValidation>
    <dataValidation type="list" sqref="K2:K200" xr:uid="{00000000-0002-0000-0400-000002000000}">
      <formula1>"high,medium,low,unknown"</formula1>
    </dataValidation>
    <dataValidation type="list" sqref="M2:M200" xr:uid="{00000000-0002-0000-0400-000003000000}">
      <formula1>"high,medium,low,internal_only"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Z200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0" customWidth="1"/>
    <col min="2" max="2" width="14" customWidth="1"/>
    <col min="3" max="3" width="16" customWidth="1"/>
    <col min="4" max="4" width="18" customWidth="1"/>
    <col min="5" max="5" width="28" customWidth="1"/>
    <col min="6" max="6" width="14" customWidth="1"/>
  </cols>
  <sheetData>
    <row r="1" spans="1:26" ht="27.95" customHeight="1">
      <c r="A1" s="2" t="s">
        <v>23</v>
      </c>
      <c r="B1" s="2" t="s">
        <v>755</v>
      </c>
      <c r="C1" s="2" t="s">
        <v>756</v>
      </c>
      <c r="D1" s="2" t="s">
        <v>757</v>
      </c>
      <c r="E1" s="2" t="s">
        <v>758</v>
      </c>
      <c r="F1" s="2" t="s">
        <v>759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s="1" t="s">
        <v>597</v>
      </c>
      <c r="B2" s="1" t="s">
        <v>600</v>
      </c>
      <c r="C2" s="1" t="s">
        <v>760</v>
      </c>
      <c r="D2" s="1" t="s">
        <v>761</v>
      </c>
      <c r="E2" s="1" t="s">
        <v>762</v>
      </c>
      <c r="F2" s="1" t="s">
        <v>763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1" t="s">
        <v>71</v>
      </c>
      <c r="B3" s="1" t="s">
        <v>116</v>
      </c>
      <c r="C3" s="1" t="s">
        <v>118</v>
      </c>
      <c r="D3" s="1" t="s">
        <v>764</v>
      </c>
      <c r="E3" s="1" t="s">
        <v>765</v>
      </c>
      <c r="F3" s="1" t="s">
        <v>766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396</v>
      </c>
      <c r="B4" s="1" t="s">
        <v>116</v>
      </c>
      <c r="C4" s="1" t="s">
        <v>767</v>
      </c>
      <c r="D4" s="1" t="s">
        <v>768</v>
      </c>
      <c r="E4" s="1" t="s">
        <v>769</v>
      </c>
      <c r="F4" s="1" t="s">
        <v>766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330</v>
      </c>
      <c r="B5" s="1" t="s">
        <v>80</v>
      </c>
      <c r="C5" s="1" t="s">
        <v>89</v>
      </c>
      <c r="D5" s="1" t="s">
        <v>770</v>
      </c>
      <c r="E5" s="1" t="s">
        <v>771</v>
      </c>
      <c r="F5" s="1" t="s">
        <v>772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319</v>
      </c>
      <c r="B6" s="1" t="s">
        <v>274</v>
      </c>
      <c r="C6" s="1" t="s">
        <v>773</v>
      </c>
      <c r="D6" s="1" t="s">
        <v>774</v>
      </c>
      <c r="E6" s="1" t="s">
        <v>775</v>
      </c>
      <c r="F6" s="1" t="s">
        <v>776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777</v>
      </c>
      <c r="B7" s="1" t="s">
        <v>274</v>
      </c>
      <c r="C7" s="1" t="s">
        <v>773</v>
      </c>
      <c r="D7" s="1" t="s">
        <v>778</v>
      </c>
      <c r="E7" s="1" t="s">
        <v>779</v>
      </c>
      <c r="F7" s="1" t="s">
        <v>776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.75">
      <c r="A8" s="1" t="s">
        <v>611</v>
      </c>
      <c r="B8" s="1" t="s">
        <v>116</v>
      </c>
      <c r="C8" s="1" t="s">
        <v>89</v>
      </c>
      <c r="D8" s="1" t="s">
        <v>780</v>
      </c>
      <c r="E8" s="1" t="s">
        <v>781</v>
      </c>
      <c r="F8" s="1" t="s">
        <v>766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>
      <c r="A9" s="1" t="s">
        <v>582</v>
      </c>
      <c r="B9" s="1" t="s">
        <v>600</v>
      </c>
      <c r="C9" s="1" t="s">
        <v>89</v>
      </c>
      <c r="D9" s="1" t="s">
        <v>782</v>
      </c>
      <c r="E9" s="1" t="s">
        <v>783</v>
      </c>
      <c r="F9" s="1" t="s">
        <v>763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285</v>
      </c>
      <c r="B10" s="1" t="s">
        <v>116</v>
      </c>
      <c r="C10" s="1" t="s">
        <v>784</v>
      </c>
      <c r="D10" s="1" t="s">
        <v>780</v>
      </c>
      <c r="E10" s="1" t="s">
        <v>785</v>
      </c>
      <c r="F10" s="1" t="s">
        <v>766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526</v>
      </c>
      <c r="B11" s="1" t="s">
        <v>80</v>
      </c>
      <c r="C11" s="1" t="s">
        <v>118</v>
      </c>
      <c r="D11" s="1" t="s">
        <v>786</v>
      </c>
      <c r="E11" s="1" t="s">
        <v>787</v>
      </c>
      <c r="F11" s="1" t="s">
        <v>772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7280"/>
  </sheetPr>
  <dimension ref="A1:Z200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1" width="16" customWidth="1"/>
  </cols>
  <sheetData>
    <row r="1" spans="1:26" ht="27.95" customHeight="1">
      <c r="A1" s="2" t="s">
        <v>23</v>
      </c>
      <c r="B1" s="2" t="s">
        <v>24</v>
      </c>
      <c r="C1" s="2" t="s">
        <v>26</v>
      </c>
      <c r="D1" s="2" t="s">
        <v>27</v>
      </c>
      <c r="E1" s="2" t="s">
        <v>37</v>
      </c>
      <c r="F1" s="2" t="s">
        <v>39</v>
      </c>
      <c r="G1" s="2" t="s">
        <v>40</v>
      </c>
      <c r="H1" s="2" t="s">
        <v>46</v>
      </c>
      <c r="I1" s="2" t="s">
        <v>47</v>
      </c>
      <c r="J1" s="2" t="s">
        <v>50</v>
      </c>
      <c r="K1" s="2" t="s">
        <v>51</v>
      </c>
      <c r="L1" s="2" t="s">
        <v>35</v>
      </c>
      <c r="M1" s="2" t="s">
        <v>716</v>
      </c>
      <c r="N1" s="2" t="s">
        <v>788</v>
      </c>
      <c r="O1" s="2" t="s">
        <v>739</v>
      </c>
      <c r="P1" s="2" t="s">
        <v>789</v>
      </c>
      <c r="Q1" s="2" t="s">
        <v>651</v>
      </c>
      <c r="R1" s="2" t="s">
        <v>652</v>
      </c>
      <c r="S1" s="2" t="s">
        <v>790</v>
      </c>
      <c r="T1" s="2" t="s">
        <v>30</v>
      </c>
      <c r="U1" s="2" t="s">
        <v>38</v>
      </c>
      <c r="V1" s="7" t="s">
        <v>822</v>
      </c>
      <c r="W1" s="6" t="s">
        <v>45</v>
      </c>
      <c r="X1" s="6" t="s">
        <v>1092</v>
      </c>
      <c r="Y1" s="6" t="s">
        <v>1099</v>
      </c>
      <c r="Z1" s="1"/>
    </row>
    <row r="2" spans="1:26" ht="28.5">
      <c r="A2" s="1" t="s">
        <v>71</v>
      </c>
      <c r="B2" s="1" t="s">
        <v>72</v>
      </c>
      <c r="C2" s="1" t="s">
        <v>74</v>
      </c>
      <c r="D2" s="1" t="s">
        <v>75</v>
      </c>
      <c r="E2" s="1" t="s">
        <v>288</v>
      </c>
      <c r="F2" s="1" t="s">
        <v>83</v>
      </c>
      <c r="G2" s="1" t="s">
        <v>163</v>
      </c>
      <c r="H2" s="1" t="s">
        <v>83</v>
      </c>
      <c r="I2" s="1" t="s">
        <v>173</v>
      </c>
      <c r="J2" s="1" t="s">
        <v>83</v>
      </c>
      <c r="K2" s="1" t="s">
        <v>88</v>
      </c>
      <c r="L2" s="1" t="s">
        <v>791</v>
      </c>
      <c r="M2" s="1" t="s">
        <v>792</v>
      </c>
      <c r="N2" s="1" t="s">
        <v>733</v>
      </c>
      <c r="O2" s="1" t="s">
        <v>793</v>
      </c>
      <c r="P2" s="1" t="s">
        <v>747</v>
      </c>
      <c r="Q2" s="1" t="s">
        <v>667</v>
      </c>
      <c r="R2" s="1" t="s">
        <v>83</v>
      </c>
      <c r="S2" s="1" t="s">
        <v>665</v>
      </c>
      <c r="T2" s="1" t="s">
        <v>794</v>
      </c>
      <c r="U2" s="1" t="s">
        <v>83</v>
      </c>
      <c r="V2" s="1" t="s">
        <v>823</v>
      </c>
      <c r="W2" s="9" t="s">
        <v>141</v>
      </c>
      <c r="X2" s="9" t="s">
        <v>1103</v>
      </c>
      <c r="Y2" s="9" t="s">
        <v>795</v>
      </c>
      <c r="Z2" s="1"/>
    </row>
    <row r="3" spans="1:26" ht="28.5">
      <c r="A3" s="1" t="s">
        <v>396</v>
      </c>
      <c r="B3" s="1" t="s">
        <v>216</v>
      </c>
      <c r="C3" s="1" t="s">
        <v>235</v>
      </c>
      <c r="D3" s="1" t="s">
        <v>367</v>
      </c>
      <c r="E3" s="1" t="s">
        <v>81</v>
      </c>
      <c r="F3" s="1" t="s">
        <v>82</v>
      </c>
      <c r="G3" s="1" t="s">
        <v>84</v>
      </c>
      <c r="H3" s="1" t="s">
        <v>82</v>
      </c>
      <c r="I3" s="1" t="s">
        <v>130</v>
      </c>
      <c r="J3" s="1" t="s">
        <v>82</v>
      </c>
      <c r="K3" s="1" t="s">
        <v>235</v>
      </c>
      <c r="L3" s="1" t="s">
        <v>600</v>
      </c>
      <c r="M3" s="1" t="s">
        <v>732</v>
      </c>
      <c r="N3" s="1" t="s">
        <v>795</v>
      </c>
      <c r="O3" s="1" t="s">
        <v>796</v>
      </c>
      <c r="P3" s="1" t="s">
        <v>797</v>
      </c>
      <c r="Q3" s="1" t="s">
        <v>672</v>
      </c>
      <c r="R3" s="1" t="s">
        <v>82</v>
      </c>
      <c r="S3" s="1" t="s">
        <v>661</v>
      </c>
      <c r="T3" s="1" t="s">
        <v>798</v>
      </c>
      <c r="U3" s="1" t="s">
        <v>82</v>
      </c>
      <c r="V3" s="1" t="s">
        <v>85</v>
      </c>
      <c r="W3" s="9" t="s">
        <v>85</v>
      </c>
      <c r="X3" s="9" t="s">
        <v>1127</v>
      </c>
      <c r="Y3" s="9" t="s">
        <v>1179</v>
      </c>
      <c r="Z3" s="1"/>
    </row>
    <row r="4" spans="1:26" ht="28.5">
      <c r="A4" s="1" t="s">
        <v>319</v>
      </c>
      <c r="B4" s="1" t="s">
        <v>331</v>
      </c>
      <c r="C4" s="1" t="s">
        <v>447</v>
      </c>
      <c r="D4" s="1" t="s">
        <v>799</v>
      </c>
      <c r="E4" s="1" t="s">
        <v>101</v>
      </c>
      <c r="F4" s="1" t="s">
        <v>97</v>
      </c>
      <c r="G4" s="1" t="s">
        <v>234</v>
      </c>
      <c r="H4" s="1" t="s">
        <v>97</v>
      </c>
      <c r="I4" s="1" t="s">
        <v>86</v>
      </c>
      <c r="J4" s="1" t="s">
        <v>97</v>
      </c>
      <c r="K4" s="1" t="s">
        <v>117</v>
      </c>
      <c r="L4" s="1" t="s">
        <v>274</v>
      </c>
      <c r="M4" s="1" t="s">
        <v>746</v>
      </c>
      <c r="N4" s="1" t="s">
        <v>86</v>
      </c>
      <c r="O4" s="1" t="s">
        <v>800</v>
      </c>
      <c r="P4" s="1" t="s">
        <v>801</v>
      </c>
      <c r="Q4" s="1" t="s">
        <v>683</v>
      </c>
      <c r="R4" s="1" t="s">
        <v>97</v>
      </c>
      <c r="S4" s="1" t="s">
        <v>235</v>
      </c>
      <c r="T4" s="1" t="s">
        <v>507</v>
      </c>
      <c r="U4" s="1" t="s">
        <v>97</v>
      </c>
      <c r="V4" s="1" t="s">
        <v>680</v>
      </c>
      <c r="W4" s="9" t="s">
        <v>103</v>
      </c>
      <c r="X4" s="9" t="s">
        <v>1119</v>
      </c>
      <c r="Y4" s="9" t="s">
        <v>813</v>
      </c>
      <c r="Z4" s="1"/>
    </row>
    <row r="5" spans="1:26" ht="28.5">
      <c r="A5" s="1" t="s">
        <v>777</v>
      </c>
      <c r="B5" s="1" t="s">
        <v>397</v>
      </c>
      <c r="C5" s="1" t="s">
        <v>229</v>
      </c>
      <c r="D5" s="1" t="s">
        <v>802</v>
      </c>
      <c r="E5" s="1" t="s">
        <v>803</v>
      </c>
      <c r="F5" s="1" t="s">
        <v>804</v>
      </c>
      <c r="G5" s="1" t="s">
        <v>601</v>
      </c>
      <c r="H5" s="1"/>
      <c r="I5" s="1" t="s">
        <v>805</v>
      </c>
      <c r="J5" s="1" t="s">
        <v>234</v>
      </c>
      <c r="K5" s="1" t="s">
        <v>601</v>
      </c>
      <c r="L5" s="1" t="s">
        <v>116</v>
      </c>
      <c r="M5" s="1" t="s">
        <v>806</v>
      </c>
      <c r="N5" s="1" t="s">
        <v>807</v>
      </c>
      <c r="O5" s="1" t="s">
        <v>746</v>
      </c>
      <c r="P5" s="1" t="s">
        <v>808</v>
      </c>
      <c r="Q5" s="1" t="s">
        <v>235</v>
      </c>
      <c r="R5" s="1"/>
      <c r="S5" s="1" t="s">
        <v>229</v>
      </c>
      <c r="T5" s="1" t="s">
        <v>809</v>
      </c>
      <c r="U5" s="1" t="s">
        <v>102</v>
      </c>
      <c r="V5" s="1"/>
      <c r="W5" s="9" t="s">
        <v>733</v>
      </c>
      <c r="X5" s="9" t="s">
        <v>1171</v>
      </c>
      <c r="Y5" s="9" t="s">
        <v>1180</v>
      </c>
      <c r="Z5" s="1"/>
    </row>
    <row r="6" spans="1:26" ht="28.5">
      <c r="A6" s="1" t="s">
        <v>330</v>
      </c>
      <c r="B6" s="1" t="s">
        <v>205</v>
      </c>
      <c r="C6" s="1"/>
      <c r="D6" s="1" t="s">
        <v>810</v>
      </c>
      <c r="E6" s="1"/>
      <c r="F6" s="1"/>
      <c r="G6" s="1" t="s">
        <v>811</v>
      </c>
      <c r="H6" s="1"/>
      <c r="I6" s="1" t="s">
        <v>808</v>
      </c>
      <c r="J6" s="1"/>
      <c r="K6" s="1"/>
      <c r="L6" s="1" t="s">
        <v>80</v>
      </c>
      <c r="M6" s="1" t="s">
        <v>812</v>
      </c>
      <c r="N6" s="1" t="s">
        <v>813</v>
      </c>
      <c r="O6" s="1" t="s">
        <v>814</v>
      </c>
      <c r="P6" s="1" t="s">
        <v>813</v>
      </c>
      <c r="Q6" s="1" t="s">
        <v>707</v>
      </c>
      <c r="R6" s="1"/>
      <c r="S6" s="1"/>
      <c r="T6" s="1" t="s">
        <v>551</v>
      </c>
      <c r="U6" s="1"/>
      <c r="V6" s="1"/>
      <c r="W6" s="1"/>
      <c r="X6" s="9" t="s">
        <v>1177</v>
      </c>
      <c r="Y6" s="1"/>
      <c r="Z6" s="1"/>
    </row>
    <row r="7" spans="1:26" ht="28.5">
      <c r="A7" s="1" t="s">
        <v>611</v>
      </c>
      <c r="B7" s="1" t="s">
        <v>527</v>
      </c>
      <c r="C7" s="1"/>
      <c r="D7" s="1" t="s">
        <v>815</v>
      </c>
      <c r="E7" s="1"/>
      <c r="F7" s="1"/>
      <c r="G7" s="1"/>
      <c r="H7" s="1"/>
      <c r="I7" s="1" t="s">
        <v>813</v>
      </c>
      <c r="J7" s="1"/>
      <c r="K7" s="1"/>
      <c r="L7" s="1" t="s">
        <v>711</v>
      </c>
      <c r="M7" s="1" t="s">
        <v>796</v>
      </c>
      <c r="N7" s="1"/>
      <c r="O7" s="1" t="s">
        <v>816</v>
      </c>
      <c r="P7" s="1"/>
      <c r="Q7" s="1" t="s">
        <v>693</v>
      </c>
      <c r="R7" s="1"/>
      <c r="S7" s="1"/>
      <c r="T7" s="1" t="s">
        <v>817</v>
      </c>
      <c r="U7" s="1"/>
      <c r="V7" s="1"/>
      <c r="W7" s="1"/>
      <c r="X7" s="9" t="s">
        <v>1178</v>
      </c>
      <c r="Y7" s="1"/>
      <c r="Z7" s="1"/>
    </row>
    <row r="8" spans="1:26" ht="28.5">
      <c r="A8" s="1" t="s">
        <v>582</v>
      </c>
      <c r="B8" s="1" t="s">
        <v>583</v>
      </c>
      <c r="C8" s="1"/>
      <c r="D8" s="1" t="s">
        <v>818</v>
      </c>
      <c r="E8" s="1"/>
      <c r="F8" s="1"/>
      <c r="G8" s="1"/>
      <c r="H8" s="1"/>
      <c r="I8" s="1"/>
      <c r="J8" s="1"/>
      <c r="K8" s="1"/>
      <c r="L8" s="1"/>
      <c r="M8" s="1" t="s">
        <v>816</v>
      </c>
      <c r="N8" s="1"/>
      <c r="O8" s="1" t="s">
        <v>792</v>
      </c>
      <c r="P8" s="1"/>
      <c r="Q8" s="1" t="s">
        <v>663</v>
      </c>
      <c r="R8" s="1"/>
      <c r="S8" s="1"/>
      <c r="T8" s="1" t="s">
        <v>819</v>
      </c>
      <c r="U8" s="1"/>
      <c r="V8" s="1"/>
      <c r="W8" s="1"/>
      <c r="X8" s="1"/>
      <c r="Y8" s="1"/>
      <c r="Z8" s="1"/>
    </row>
    <row r="9" spans="1:26">
      <c r="A9" s="1" t="s">
        <v>597</v>
      </c>
      <c r="B9" s="1" t="s">
        <v>621</v>
      </c>
      <c r="C9" s="1"/>
      <c r="D9" s="1" t="s">
        <v>230</v>
      </c>
      <c r="E9" s="1"/>
      <c r="F9" s="1"/>
      <c r="G9" s="1"/>
      <c r="H9" s="1"/>
      <c r="I9" s="1"/>
      <c r="J9" s="1"/>
      <c r="K9" s="1"/>
      <c r="L9" s="1"/>
      <c r="M9" s="1" t="s">
        <v>814</v>
      </c>
      <c r="N9" s="1"/>
      <c r="O9" s="1"/>
      <c r="P9" s="1"/>
      <c r="Q9" s="1" t="s">
        <v>696</v>
      </c>
      <c r="R9" s="1"/>
      <c r="S9" s="1"/>
      <c r="T9" s="1" t="s">
        <v>820</v>
      </c>
      <c r="U9" s="1"/>
      <c r="V9" s="1"/>
      <c r="W9" s="1"/>
      <c r="X9" s="1"/>
      <c r="Y9" s="1"/>
      <c r="Z9" s="1"/>
    </row>
    <row r="10" spans="1:26" ht="28.5">
      <c r="A10" s="1" t="s">
        <v>285</v>
      </c>
      <c r="B10" s="1" t="s">
        <v>648</v>
      </c>
      <c r="C10" s="1"/>
      <c r="D10" s="1" t="s">
        <v>286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659</v>
      </c>
      <c r="R10" s="1"/>
      <c r="S10" s="1"/>
      <c r="T10" s="1" t="s">
        <v>821</v>
      </c>
      <c r="U10" s="1"/>
      <c r="V10" s="1"/>
      <c r="W10" s="1"/>
      <c r="X10" s="1"/>
      <c r="Y10" s="1"/>
      <c r="Z10" s="1"/>
    </row>
    <row r="11" spans="1:26">
      <c r="A11" s="1" t="s">
        <v>526</v>
      </c>
      <c r="B11" s="1" t="s">
        <v>649</v>
      </c>
      <c r="C11" s="1"/>
      <c r="D11" s="1" t="s">
        <v>585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 t="s">
        <v>713</v>
      </c>
      <c r="R11" s="1"/>
      <c r="S11" s="1"/>
      <c r="T11" s="1" t="s">
        <v>368</v>
      </c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680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Library_Master</vt:lpstr>
      <vt:lpstr>Knowledge_Cards</vt:lpstr>
      <vt:lpstr>Source_Register</vt:lpstr>
      <vt:lpstr>Pattern_Register</vt:lpstr>
      <vt:lpstr>Thesis_Register</vt:lpstr>
      <vt:lpstr>Update_Timetable</vt:lpstr>
      <vt:lpstr>Controlled_Values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Raman</cp:lastModifiedBy>
  <dcterms:created xsi:type="dcterms:W3CDTF">2026-04-16T09:34:30Z</dcterms:created>
  <dcterms:modified xsi:type="dcterms:W3CDTF">2026-04-16T10:16:01Z</dcterms:modified>
</cp:coreProperties>
</file>